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9400" windowHeight="18440" tabRatio="872" firstSheet="0" activeTab="3" autoFilterDateGrouping="1"/>
  </bookViews>
  <sheets>
    <sheet name="analysis_participants" sheetId="1" state="visible" r:id="rId1"/>
    <sheet name="likert_analysis" sheetId="2" state="visible" r:id="rId2"/>
    <sheet name="pairwise_analysis" sheetId="3" state="visible" r:id="rId3"/>
    <sheet name="binomial_analysis" sheetId="4" state="visible" r:id="rId4"/>
    <sheet name="binomial_analysis_results" sheetId="5" state="visible" r:id="rId5"/>
  </sheets>
  <definedNames>
    <definedName name="_xlnm._FilterDatabase" localSheetId="1" hidden="1">'likert_analysis'!$A$1:$N$193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family val="2"/>
      <color rgb="FF000000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2" applyAlignment="1" pivotButton="0" quotePrefix="0" xfId="0">
      <alignment horizontal="center" vertical="top"/>
    </xf>
    <xf numFmtId="0" fontId="1" fillId="0" borderId="3" pivotButton="0" quotePrefix="0" xfId="0"/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3" fillId="0" borderId="7" applyAlignment="1" pivotButton="0" quotePrefix="0" xfId="0">
      <alignment horizontal="center" vertical="top"/>
    </xf>
    <xf numFmtId="0" fontId="3" fillId="0" borderId="8" applyAlignment="1" pivotButton="0" quotePrefix="0" xfId="0">
      <alignment horizontal="left" vertical="top"/>
    </xf>
    <xf numFmtId="0" fontId="3" fillId="0" borderId="8" applyAlignment="1" pivotButton="0" quotePrefix="0" xfId="0">
      <alignment horizontal="center" vertical="top"/>
    </xf>
    <xf numFmtId="0" fontId="1" fillId="0" borderId="9" pivotButton="0" quotePrefix="0" xfId="0"/>
    <xf numFmtId="0" fontId="4" fillId="0" borderId="0" pivotButton="0" quotePrefix="0" xfId="0"/>
    <xf numFmtId="0" fontId="3" fillId="0" borderId="0" pivotButton="0" quotePrefix="0" xfId="0"/>
    <xf numFmtId="0" fontId="4" fillId="0" borderId="0" pivotButton="0" quotePrefix="1" xfId="0"/>
    <xf numFmtId="0" fontId="5" fillId="0" borderId="10" applyAlignment="1" pivotButton="0" quotePrefix="0" xfId="0">
      <alignment horizontal="center" vertical="top"/>
    </xf>
  </cellXfs>
  <cellStyles count="1">
    <cellStyle name="Normal" xfId="0" builtinId="0"/>
  </cellStyles>
  <dxfs count="365"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65" formatCode="0.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65" formatCode="0.0%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3" formatCode="0%"/>
    </dxf>
    <dxf>
      <numFmt numFmtId="14" formatCode="0.00%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numFmt numFmtId="13" formatCode="0%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</border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font>
        <name val="Calibri"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1"/>
        <vertAlign val="baseline"/>
        <scheme val="minor"/>
      </font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left" vertical="top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top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theme="4" tint="0.7999816888943144"/>
          <bgColor theme="4" tint="0.7999816888943144"/>
        </patternFill>
      </fill>
      <alignment horizontal="left" vertical="top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e1" displayName="Table1" ref="A3:H35" headerRowCount="1" totalsRowShown="0" headerRowDxfId="364" headerRowBorderDxfId="363" tableBorderDxfId="362" totalsRowBorderDxfId="361">
  <autoFilter ref="A3:H35"/>
  <tableColumns count="8">
    <tableColumn id="1" name="S.No" dataDxfId="360"/>
    <tableColumn id="2" name="Participant ID" dataDxfId="359"/>
    <tableColumn id="3" name="Carnatic Familiarity" dataDxfId="358"/>
    <tableColumn id="4" name="formal_training_level" dataDxfId="357"/>
    <tableColumn id="5" name="self_rated_knowledge" dataDxfId="356"/>
    <tableColumn id="6" name="uses_headphones" dataDxfId="355"/>
    <tableColumn id="7" name="Name" dataDxfId="354"/>
    <tableColumn id="8" name="Persona" dataDxfId="3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35"/>
  <sheetViews>
    <sheetView workbookViewId="0">
      <selection activeCell="A5" sqref="A5"/>
    </sheetView>
  </sheetViews>
  <sheetFormatPr baseColWidth="10" defaultColWidth="10.83203125" defaultRowHeight="14"/>
  <cols>
    <col width="28" bestFit="1" customWidth="1" style="1" min="1" max="1"/>
    <col width="21.1640625" bestFit="1" customWidth="1" style="1" min="2" max="2"/>
    <col width="5.1640625" bestFit="1" customWidth="1" style="1" min="3" max="3"/>
    <col width="20.33203125" bestFit="1" customWidth="1" style="1" min="4" max="4"/>
    <col width="20.83203125" bestFit="1" customWidth="1" style="1" min="5" max="5"/>
    <col width="17.6640625" bestFit="1" customWidth="1" style="1" min="6" max="6"/>
    <col width="26.5" bestFit="1" customWidth="1" style="1" min="7" max="7"/>
    <col width="25.83203125" bestFit="1" customWidth="1" style="1" min="8" max="8"/>
    <col width="10.83203125" customWidth="1" style="1" min="9" max="16384"/>
  </cols>
  <sheetData>
    <row r="3" ht="15" customHeight="1">
      <c r="A3" s="6" t="inlineStr">
        <is>
          <t>S.No</t>
        </is>
      </c>
      <c r="B3" s="7" t="inlineStr">
        <is>
          <t>Participant ID</t>
        </is>
      </c>
      <c r="C3" s="7" t="inlineStr">
        <is>
          <t>Carnatic Familiarity</t>
        </is>
      </c>
      <c r="D3" s="7" t="inlineStr">
        <is>
          <t>formal_training_level</t>
        </is>
      </c>
      <c r="E3" s="7" t="inlineStr">
        <is>
          <t>self_rated_knowledge</t>
        </is>
      </c>
      <c r="F3" s="7" t="inlineStr">
        <is>
          <t>uses_headphones</t>
        </is>
      </c>
      <c r="G3" s="7" t="inlineStr">
        <is>
          <t>Name</t>
        </is>
      </c>
      <c r="H3" s="8" t="inlineStr">
        <is>
          <t>Persona</t>
        </is>
      </c>
    </row>
    <row r="4" ht="15" customHeight="1">
      <c r="A4" s="4" t="n">
        <v>1</v>
      </c>
      <c r="B4" s="3" t="inlineStr">
        <is>
          <t>PA00930C</t>
        </is>
      </c>
      <c r="C4" s="2" t="inlineStr">
        <is>
          <t>Yes</t>
        </is>
      </c>
      <c r="D4" s="3" t="inlineStr">
        <is>
          <t>Intermediate</t>
        </is>
      </c>
      <c r="E4" s="2" t="n">
        <v>3</v>
      </c>
      <c r="F4" s="2" t="inlineStr">
        <is>
          <t>No</t>
        </is>
      </c>
      <c r="G4" s="3" t="inlineStr">
        <is>
          <t>Subramanian</t>
        </is>
      </c>
      <c r="H4" s="5" t="inlineStr">
        <is>
          <t>Knows Carnatic Music</t>
        </is>
      </c>
    </row>
    <row r="5" ht="15" customHeight="1">
      <c r="A5" s="4" t="n">
        <v>2</v>
      </c>
      <c r="B5" s="3" t="inlineStr">
        <is>
          <t>PA39F3AA</t>
        </is>
      </c>
      <c r="C5" s="2" t="inlineStr">
        <is>
          <t>No</t>
        </is>
      </c>
      <c r="D5" s="3" t="inlineStr">
        <is>
          <t>None</t>
        </is>
      </c>
      <c r="E5" s="2" t="n"/>
      <c r="F5" s="2" t="inlineStr">
        <is>
          <t>Yes</t>
        </is>
      </c>
      <c r="G5" s="3" t="inlineStr">
        <is>
          <t xml:space="preserve">Dwaraka </t>
        </is>
      </c>
      <c r="H5" s="5" t="inlineStr">
        <is>
          <t>Doesn’t Know Carnatic Music</t>
        </is>
      </c>
    </row>
    <row r="6" ht="15" customHeight="1">
      <c r="A6" s="4" t="n">
        <v>3</v>
      </c>
      <c r="B6" s="3" t="inlineStr">
        <is>
          <t>PA4217ED</t>
        </is>
      </c>
      <c r="C6" s="2" t="inlineStr">
        <is>
          <t>Yes</t>
        </is>
      </c>
      <c r="D6" s="3" t="inlineStr">
        <is>
          <t>Beginner</t>
        </is>
      </c>
      <c r="E6" s="2" t="n">
        <v>2</v>
      </c>
      <c r="F6" s="2" t="inlineStr">
        <is>
          <t>Yes</t>
        </is>
      </c>
      <c r="G6" s="3" t="inlineStr">
        <is>
          <t>Shabarish S</t>
        </is>
      </c>
      <c r="H6" s="5" t="inlineStr">
        <is>
          <t>Doesn’t Know Carnatic Music</t>
        </is>
      </c>
    </row>
    <row r="7" ht="15" customHeight="1">
      <c r="A7" s="4" t="n">
        <v>4</v>
      </c>
      <c r="B7" s="3" t="inlineStr">
        <is>
          <t>PA44D477</t>
        </is>
      </c>
      <c r="C7" s="2" t="inlineStr">
        <is>
          <t>Yes</t>
        </is>
      </c>
      <c r="D7" s="3" t="inlineStr">
        <is>
          <t>Advanced</t>
        </is>
      </c>
      <c r="E7" s="2" t="n">
        <v>3</v>
      </c>
      <c r="F7" s="2" t="inlineStr">
        <is>
          <t>Yes</t>
        </is>
      </c>
      <c r="G7" s="3" t="n"/>
      <c r="H7" s="5" t="inlineStr">
        <is>
          <t>Knows Carnatic Music</t>
        </is>
      </c>
    </row>
    <row r="8" ht="15" customHeight="1">
      <c r="A8" s="4" t="n">
        <v>5</v>
      </c>
      <c r="B8" s="3" t="inlineStr">
        <is>
          <t>PA4BADE8</t>
        </is>
      </c>
      <c r="C8" s="2" t="inlineStr">
        <is>
          <t>Yes</t>
        </is>
      </c>
      <c r="D8" s="3" t="inlineStr">
        <is>
          <t>Intermediate</t>
        </is>
      </c>
      <c r="E8" s="2" t="n">
        <v>4</v>
      </c>
      <c r="F8" s="2" t="inlineStr">
        <is>
          <t>Yes</t>
        </is>
      </c>
      <c r="G8" s="3" t="inlineStr">
        <is>
          <t>Niveditha Madhusudhanan</t>
        </is>
      </c>
      <c r="H8" s="5" t="inlineStr">
        <is>
          <t>Knows Carnatic Music</t>
        </is>
      </c>
    </row>
    <row r="9" ht="15" customHeight="1">
      <c r="A9" s="4" t="n">
        <v>6</v>
      </c>
      <c r="B9" s="3" t="inlineStr">
        <is>
          <t>PA564067</t>
        </is>
      </c>
      <c r="C9" s="2" t="inlineStr">
        <is>
          <t>No</t>
        </is>
      </c>
      <c r="D9" s="3" t="inlineStr">
        <is>
          <t>None</t>
        </is>
      </c>
      <c r="E9" s="2" t="n"/>
      <c r="F9" s="2" t="inlineStr">
        <is>
          <t>Yes</t>
        </is>
      </c>
      <c r="G9" s="3" t="inlineStr">
        <is>
          <t>Karthikraj</t>
        </is>
      </c>
      <c r="H9" s="5" t="inlineStr">
        <is>
          <t>Doesn’t Know Carnatic Music</t>
        </is>
      </c>
    </row>
    <row r="10" ht="15" customHeight="1">
      <c r="A10" s="4" t="n">
        <v>7</v>
      </c>
      <c r="B10" s="3" t="inlineStr">
        <is>
          <t>PA56F0AC</t>
        </is>
      </c>
      <c r="C10" s="2" t="inlineStr">
        <is>
          <t>Yes</t>
        </is>
      </c>
      <c r="D10" s="3" t="inlineStr">
        <is>
          <t>Intermediate</t>
        </is>
      </c>
      <c r="E10" s="2" t="n">
        <v>3</v>
      </c>
      <c r="F10" s="2" t="inlineStr">
        <is>
          <t>Yes</t>
        </is>
      </c>
      <c r="G10" s="3" t="inlineStr">
        <is>
          <t xml:space="preserve">Anirudh Subramanyam </t>
        </is>
      </c>
      <c r="H10" s="5" t="inlineStr">
        <is>
          <t>Knows Carnatic Music</t>
        </is>
      </c>
    </row>
    <row r="11" ht="15" customHeight="1">
      <c r="A11" s="4" t="n">
        <v>8</v>
      </c>
      <c r="B11" s="3" t="inlineStr">
        <is>
          <t>PA6013AB</t>
        </is>
      </c>
      <c r="C11" s="2" t="inlineStr">
        <is>
          <t>Yes</t>
        </is>
      </c>
      <c r="D11" s="3" t="inlineStr">
        <is>
          <t>Beginner</t>
        </is>
      </c>
      <c r="E11" s="2" t="n">
        <v>3</v>
      </c>
      <c r="F11" s="2" t="inlineStr">
        <is>
          <t>Yes</t>
        </is>
      </c>
      <c r="G11" s="3" t="inlineStr">
        <is>
          <t>GAYATHIRI V</t>
        </is>
      </c>
      <c r="H11" s="5" t="inlineStr">
        <is>
          <t>Doesn’t Know Carnatic Music</t>
        </is>
      </c>
    </row>
    <row r="12" ht="15" customHeight="1">
      <c r="A12" s="4" t="n">
        <v>9</v>
      </c>
      <c r="B12" s="3" t="inlineStr">
        <is>
          <t>PA61145F</t>
        </is>
      </c>
      <c r="C12" s="2" t="inlineStr">
        <is>
          <t>Yes</t>
        </is>
      </c>
      <c r="D12" s="3" t="inlineStr">
        <is>
          <t>Advanced</t>
        </is>
      </c>
      <c r="E12" s="2" t="n">
        <v>4</v>
      </c>
      <c r="F12" s="2" t="inlineStr">
        <is>
          <t>Yes</t>
        </is>
      </c>
      <c r="G12" s="3" t="inlineStr">
        <is>
          <t>Priya</t>
        </is>
      </c>
      <c r="H12" s="5" t="inlineStr">
        <is>
          <t>Knows Carnatic Music</t>
        </is>
      </c>
    </row>
    <row r="13" ht="15" customHeight="1">
      <c r="A13" s="4" t="n">
        <v>10</v>
      </c>
      <c r="B13" s="3" t="inlineStr">
        <is>
          <t>PA63AB30</t>
        </is>
      </c>
      <c r="C13" s="2" t="inlineStr">
        <is>
          <t>Yes</t>
        </is>
      </c>
      <c r="D13" s="3" t="inlineStr">
        <is>
          <t>Professional</t>
        </is>
      </c>
      <c r="E13" s="2" t="n">
        <v>5</v>
      </c>
      <c r="F13" s="2" t="inlineStr">
        <is>
          <t>No</t>
        </is>
      </c>
      <c r="G13" s="3" t="inlineStr">
        <is>
          <t xml:space="preserve">Krithika Subramanian </t>
        </is>
      </c>
      <c r="H13" s="5" t="inlineStr">
        <is>
          <t>Knows Carnatic Music</t>
        </is>
      </c>
    </row>
    <row r="14" ht="15" customHeight="1">
      <c r="A14" s="4" t="n">
        <v>11</v>
      </c>
      <c r="B14" s="3" t="inlineStr">
        <is>
          <t>PA6BCE9E</t>
        </is>
      </c>
      <c r="C14" s="2" t="inlineStr">
        <is>
          <t>No</t>
        </is>
      </c>
      <c r="D14" s="3" t="inlineStr">
        <is>
          <t>None</t>
        </is>
      </c>
      <c r="E14" s="2" t="n"/>
      <c r="F14" s="2" t="inlineStr">
        <is>
          <t>Yes</t>
        </is>
      </c>
      <c r="G14" s="3" t="n"/>
      <c r="H14" s="5" t="inlineStr">
        <is>
          <t>Doesn’t Know Carnatic Music</t>
        </is>
      </c>
    </row>
    <row r="15" ht="15" customHeight="1">
      <c r="A15" s="4" t="n">
        <v>12</v>
      </c>
      <c r="B15" s="3" t="inlineStr">
        <is>
          <t>PA6DF52A</t>
        </is>
      </c>
      <c r="C15" s="2" t="inlineStr">
        <is>
          <t>No</t>
        </is>
      </c>
      <c r="D15" s="3" t="inlineStr">
        <is>
          <t>None</t>
        </is>
      </c>
      <c r="E15" s="2" t="n"/>
      <c r="F15" s="2" t="inlineStr">
        <is>
          <t>Yes</t>
        </is>
      </c>
      <c r="G15" s="3" t="inlineStr">
        <is>
          <t>Muthu</t>
        </is>
      </c>
      <c r="H15" s="5" t="inlineStr">
        <is>
          <t>Doesn’t Know Carnatic Music</t>
        </is>
      </c>
    </row>
    <row r="16" ht="15" customHeight="1">
      <c r="A16" s="4" t="n">
        <v>13</v>
      </c>
      <c r="B16" s="3" t="inlineStr">
        <is>
          <t>PA733F90</t>
        </is>
      </c>
      <c r="C16" s="2" t="inlineStr">
        <is>
          <t>Yes</t>
        </is>
      </c>
      <c r="D16" s="3" t="inlineStr">
        <is>
          <t>Professional</t>
        </is>
      </c>
      <c r="E16" s="2" t="n">
        <v>5</v>
      </c>
      <c r="F16" s="2" t="inlineStr">
        <is>
          <t>No</t>
        </is>
      </c>
      <c r="G16" s="3" t="inlineStr">
        <is>
          <t xml:space="preserve">Lakshmi CSS </t>
        </is>
      </c>
      <c r="H16" s="5" t="inlineStr">
        <is>
          <t>Knows Carnatic Music</t>
        </is>
      </c>
    </row>
    <row r="17" ht="15" customHeight="1">
      <c r="A17" s="4" t="n">
        <v>14</v>
      </c>
      <c r="B17" s="3" t="inlineStr">
        <is>
          <t>PA7B7903</t>
        </is>
      </c>
      <c r="C17" s="2" t="inlineStr">
        <is>
          <t>Yes</t>
        </is>
      </c>
      <c r="D17" s="3" t="inlineStr">
        <is>
          <t>Advanced</t>
        </is>
      </c>
      <c r="E17" s="2" t="n">
        <v>5</v>
      </c>
      <c r="F17" s="2" t="inlineStr">
        <is>
          <t>No</t>
        </is>
      </c>
      <c r="G17" s="3" t="inlineStr">
        <is>
          <t>Varsha</t>
        </is>
      </c>
      <c r="H17" s="5" t="inlineStr">
        <is>
          <t>Knows Carnatic Music</t>
        </is>
      </c>
    </row>
    <row r="18" ht="15" customHeight="1">
      <c r="A18" s="4" t="n">
        <v>15</v>
      </c>
      <c r="B18" s="3" t="inlineStr">
        <is>
          <t>PA7FA43A</t>
        </is>
      </c>
      <c r="C18" s="2" t="inlineStr">
        <is>
          <t>Yes</t>
        </is>
      </c>
      <c r="D18" s="3" t="inlineStr">
        <is>
          <t>Beginner</t>
        </is>
      </c>
      <c r="E18" s="2" t="n">
        <v>1</v>
      </c>
      <c r="F18" s="2" t="inlineStr">
        <is>
          <t>No</t>
        </is>
      </c>
      <c r="G18" s="3" t="inlineStr">
        <is>
          <t xml:space="preserve">Anie febronia </t>
        </is>
      </c>
      <c r="H18" s="5" t="inlineStr">
        <is>
          <t>Doesn’t Know Carnatic Music</t>
        </is>
      </c>
    </row>
    <row r="19" ht="15" customHeight="1">
      <c r="A19" s="4" t="n">
        <v>16</v>
      </c>
      <c r="B19" s="3" t="inlineStr">
        <is>
          <t>PA7FB7E0</t>
        </is>
      </c>
      <c r="C19" s="2" t="inlineStr">
        <is>
          <t>Yes</t>
        </is>
      </c>
      <c r="D19" s="3" t="inlineStr">
        <is>
          <t>Advanced</t>
        </is>
      </c>
      <c r="E19" s="2" t="n">
        <v>5</v>
      </c>
      <c r="F19" s="2" t="inlineStr">
        <is>
          <t>No</t>
        </is>
      </c>
      <c r="G19" s="3" t="inlineStr">
        <is>
          <t>Shri Gayathri Narasimhan</t>
        </is>
      </c>
      <c r="H19" s="5" t="inlineStr">
        <is>
          <t>Knows Carnatic Music</t>
        </is>
      </c>
    </row>
    <row r="20" ht="15" customHeight="1">
      <c r="A20" s="4" t="n">
        <v>17</v>
      </c>
      <c r="B20" s="3" t="inlineStr">
        <is>
          <t>PA817AA9</t>
        </is>
      </c>
      <c r="C20" s="2" t="inlineStr">
        <is>
          <t>No</t>
        </is>
      </c>
      <c r="D20" s="3" t="inlineStr">
        <is>
          <t>None</t>
        </is>
      </c>
      <c r="E20" s="2" t="n"/>
      <c r="F20" s="2" t="inlineStr">
        <is>
          <t>Yes</t>
        </is>
      </c>
      <c r="G20" s="3" t="inlineStr">
        <is>
          <t>Mirunalini Ramani</t>
        </is>
      </c>
      <c r="H20" s="5" t="inlineStr">
        <is>
          <t>Doesn’t Know Carnatic Music</t>
        </is>
      </c>
    </row>
    <row r="21" ht="15" customHeight="1">
      <c r="A21" s="4" t="n">
        <v>18</v>
      </c>
      <c r="B21" s="3" t="inlineStr">
        <is>
          <t>PA9400CD</t>
        </is>
      </c>
      <c r="C21" s="2" t="inlineStr">
        <is>
          <t>No</t>
        </is>
      </c>
      <c r="D21" s="3" t="inlineStr">
        <is>
          <t>None</t>
        </is>
      </c>
      <c r="E21" s="2" t="n"/>
      <c r="F21" s="2" t="inlineStr">
        <is>
          <t>No</t>
        </is>
      </c>
      <c r="G21" s="3" t="n"/>
      <c r="H21" s="5" t="inlineStr">
        <is>
          <t>Doesn’t Know Carnatic Music</t>
        </is>
      </c>
    </row>
    <row r="22" ht="15" customHeight="1">
      <c r="A22" s="4" t="n">
        <v>19</v>
      </c>
      <c r="B22" s="3" t="inlineStr">
        <is>
          <t>PAA717AA</t>
        </is>
      </c>
      <c r="C22" s="2" t="inlineStr">
        <is>
          <t>Yes</t>
        </is>
      </c>
      <c r="D22" s="3" t="inlineStr">
        <is>
          <t>Intermediate</t>
        </is>
      </c>
      <c r="E22" s="2" t="n">
        <v>3</v>
      </c>
      <c r="F22" s="2" t="inlineStr">
        <is>
          <t>Yes</t>
        </is>
      </c>
      <c r="G22" s="3" t="n"/>
      <c r="H22" s="5" t="inlineStr">
        <is>
          <t>Knows Carnatic Music</t>
        </is>
      </c>
    </row>
    <row r="23" ht="15" customHeight="1">
      <c r="A23" s="4" t="n">
        <v>20</v>
      </c>
      <c r="B23" s="3" t="inlineStr">
        <is>
          <t>PAABD6E8</t>
        </is>
      </c>
      <c r="C23" s="2" t="inlineStr">
        <is>
          <t>Yes</t>
        </is>
      </c>
      <c r="D23" s="3" t="inlineStr">
        <is>
          <t>Beginner</t>
        </is>
      </c>
      <c r="E23" s="2" t="n">
        <v>3</v>
      </c>
      <c r="F23" s="2" t="inlineStr">
        <is>
          <t>Yes</t>
        </is>
      </c>
      <c r="G23" s="3" t="inlineStr">
        <is>
          <t>G Narasimhan</t>
        </is>
      </c>
      <c r="H23" s="5" t="inlineStr">
        <is>
          <t>Doesn’t Know Carnatic Music</t>
        </is>
      </c>
    </row>
    <row r="24" ht="15" customHeight="1">
      <c r="A24" s="4" t="n">
        <v>21</v>
      </c>
      <c r="B24" s="3" t="inlineStr">
        <is>
          <t>PAB26C73</t>
        </is>
      </c>
      <c r="C24" s="2" t="inlineStr">
        <is>
          <t>Yes</t>
        </is>
      </c>
      <c r="D24" s="3" t="inlineStr">
        <is>
          <t>Beginner</t>
        </is>
      </c>
      <c r="E24" s="2" t="n">
        <v>3</v>
      </c>
      <c r="F24" s="2" t="inlineStr">
        <is>
          <t>No</t>
        </is>
      </c>
      <c r="G24" s="3" t="inlineStr">
        <is>
          <t>Arun G</t>
        </is>
      </c>
      <c r="H24" s="5" t="inlineStr">
        <is>
          <t>Doesn’t Know Carnatic Music</t>
        </is>
      </c>
    </row>
    <row r="25" ht="15" customHeight="1">
      <c r="A25" s="4" t="n">
        <v>22</v>
      </c>
      <c r="B25" s="3" t="inlineStr">
        <is>
          <t>PAB9BE11</t>
        </is>
      </c>
      <c r="C25" s="2" t="inlineStr">
        <is>
          <t>No</t>
        </is>
      </c>
      <c r="D25" s="3" t="inlineStr">
        <is>
          <t>None</t>
        </is>
      </c>
      <c r="E25" s="2" t="n"/>
      <c r="F25" s="2" t="inlineStr">
        <is>
          <t>Yes</t>
        </is>
      </c>
      <c r="G25" s="3" t="inlineStr">
        <is>
          <t>Krishna Kumar B</t>
        </is>
      </c>
      <c r="H25" s="5" t="inlineStr">
        <is>
          <t>Doesn’t Know Carnatic Music</t>
        </is>
      </c>
    </row>
    <row r="26" ht="15" customHeight="1">
      <c r="A26" s="4" t="n">
        <v>23</v>
      </c>
      <c r="B26" s="3" t="inlineStr">
        <is>
          <t>PABCC288</t>
        </is>
      </c>
      <c r="C26" s="2" t="inlineStr">
        <is>
          <t>No</t>
        </is>
      </c>
      <c r="D26" s="3" t="inlineStr">
        <is>
          <t>None</t>
        </is>
      </c>
      <c r="E26" s="2" t="n"/>
      <c r="F26" s="2" t="inlineStr">
        <is>
          <t>No</t>
        </is>
      </c>
      <c r="G26" s="3" t="inlineStr">
        <is>
          <t>Sakthi Kavin S S</t>
        </is>
      </c>
      <c r="H26" s="5" t="inlineStr">
        <is>
          <t>Doesn’t Know Carnatic Music</t>
        </is>
      </c>
    </row>
    <row r="27" ht="15" customHeight="1">
      <c r="A27" s="4" t="n">
        <v>24</v>
      </c>
      <c r="B27" s="3" t="inlineStr">
        <is>
          <t>PABE392B</t>
        </is>
      </c>
      <c r="C27" s="2" t="inlineStr">
        <is>
          <t>Yes</t>
        </is>
      </c>
      <c r="D27" s="3" t="inlineStr">
        <is>
          <t>Advanced</t>
        </is>
      </c>
      <c r="E27" s="2" t="n">
        <v>3</v>
      </c>
      <c r="F27" s="2" t="inlineStr">
        <is>
          <t>Yes</t>
        </is>
      </c>
      <c r="G27" s="3" t="inlineStr">
        <is>
          <t xml:space="preserve">Ananthesh R </t>
        </is>
      </c>
      <c r="H27" s="5" t="inlineStr">
        <is>
          <t>Knows Carnatic Music</t>
        </is>
      </c>
    </row>
    <row r="28" ht="15" customHeight="1">
      <c r="A28" s="4" t="n">
        <v>25</v>
      </c>
      <c r="B28" s="3" t="inlineStr">
        <is>
          <t>PAC63068</t>
        </is>
      </c>
      <c r="C28" s="2" t="inlineStr">
        <is>
          <t>Yes</t>
        </is>
      </c>
      <c r="D28" s="3" t="inlineStr">
        <is>
          <t>None</t>
        </is>
      </c>
      <c r="E28" s="2" t="n">
        <v>2</v>
      </c>
      <c r="F28" s="2" t="inlineStr">
        <is>
          <t>No</t>
        </is>
      </c>
      <c r="G28" s="3" t="n"/>
      <c r="H28" s="5" t="inlineStr">
        <is>
          <t>Doesn’t Know Carnatic Music</t>
        </is>
      </c>
    </row>
    <row r="29" ht="15" customHeight="1">
      <c r="A29" s="4" t="n">
        <v>26</v>
      </c>
      <c r="B29" s="3" t="inlineStr">
        <is>
          <t>PAC716A3</t>
        </is>
      </c>
      <c r="C29" s="2" t="inlineStr">
        <is>
          <t>No</t>
        </is>
      </c>
      <c r="D29" s="3" t="inlineStr">
        <is>
          <t>None</t>
        </is>
      </c>
      <c r="E29" s="2" t="n"/>
      <c r="F29" s="2" t="inlineStr">
        <is>
          <t>Yes</t>
        </is>
      </c>
      <c r="G29" s="3" t="inlineStr">
        <is>
          <t>Monika</t>
        </is>
      </c>
      <c r="H29" s="5" t="inlineStr">
        <is>
          <t>Doesn’t Know Carnatic Music</t>
        </is>
      </c>
    </row>
    <row r="30" ht="15" customHeight="1">
      <c r="A30" s="4" t="n">
        <v>27</v>
      </c>
      <c r="B30" s="3" t="inlineStr">
        <is>
          <t>PACED268</t>
        </is>
      </c>
      <c r="C30" s="2" t="inlineStr">
        <is>
          <t>Yes</t>
        </is>
      </c>
      <c r="D30" s="3" t="inlineStr">
        <is>
          <t>Intermediate</t>
        </is>
      </c>
      <c r="E30" s="2" t="n">
        <v>3</v>
      </c>
      <c r="F30" s="2" t="inlineStr">
        <is>
          <t>Yes</t>
        </is>
      </c>
      <c r="G30" s="3" t="inlineStr">
        <is>
          <t xml:space="preserve">Haritha </t>
        </is>
      </c>
      <c r="H30" s="5" t="inlineStr">
        <is>
          <t>Knows Carnatic Music</t>
        </is>
      </c>
    </row>
    <row r="31" ht="15" customHeight="1">
      <c r="A31" s="4" t="n">
        <v>28</v>
      </c>
      <c r="B31" s="3" t="inlineStr">
        <is>
          <t>PAD23D72</t>
        </is>
      </c>
      <c r="C31" s="2" t="inlineStr">
        <is>
          <t>Yes</t>
        </is>
      </c>
      <c r="D31" s="3" t="inlineStr">
        <is>
          <t>Beginner</t>
        </is>
      </c>
      <c r="E31" s="2" t="n">
        <v>3</v>
      </c>
      <c r="F31" s="2" t="inlineStr">
        <is>
          <t>No</t>
        </is>
      </c>
      <c r="G31" s="3" t="n"/>
      <c r="H31" s="5" t="inlineStr">
        <is>
          <t>Doesn’t Know Carnatic Music</t>
        </is>
      </c>
    </row>
    <row r="32" ht="15" customHeight="1">
      <c r="A32" s="4" t="n">
        <v>29</v>
      </c>
      <c r="B32" s="3" t="inlineStr">
        <is>
          <t>PAE6E0AE</t>
        </is>
      </c>
      <c r="C32" s="2" t="inlineStr">
        <is>
          <t>No</t>
        </is>
      </c>
      <c r="D32" s="3" t="inlineStr">
        <is>
          <t>None</t>
        </is>
      </c>
      <c r="E32" s="2" t="n"/>
      <c r="F32" s="2" t="inlineStr">
        <is>
          <t>Yes</t>
        </is>
      </c>
      <c r="G32" s="3" t="inlineStr">
        <is>
          <t xml:space="preserve">Venkata Subramaniam Ramanan </t>
        </is>
      </c>
      <c r="H32" s="5" t="inlineStr">
        <is>
          <t>Doesn’t Know Carnatic Music</t>
        </is>
      </c>
    </row>
    <row r="33" ht="15" customHeight="1">
      <c r="A33" s="4" t="n">
        <v>30</v>
      </c>
      <c r="B33" s="3" t="inlineStr">
        <is>
          <t>PAFA3928</t>
        </is>
      </c>
      <c r="C33" s="2" t="inlineStr">
        <is>
          <t>Yes</t>
        </is>
      </c>
      <c r="D33" s="3" t="inlineStr">
        <is>
          <t>Intermediate</t>
        </is>
      </c>
      <c r="E33" s="2" t="n">
        <v>3</v>
      </c>
      <c r="F33" s="2" t="inlineStr">
        <is>
          <t>No</t>
        </is>
      </c>
      <c r="G33" s="3" t="inlineStr">
        <is>
          <t>P. Nithya</t>
        </is>
      </c>
      <c r="H33" s="5" t="inlineStr">
        <is>
          <t>Knows Carnatic Music</t>
        </is>
      </c>
    </row>
    <row r="34" ht="15" customHeight="1">
      <c r="A34" s="4" t="n">
        <v>31</v>
      </c>
      <c r="B34" s="3" t="inlineStr">
        <is>
          <t>PAFD458E</t>
        </is>
      </c>
      <c r="C34" s="2" t="inlineStr">
        <is>
          <t>Yes</t>
        </is>
      </c>
      <c r="D34" s="3" t="inlineStr">
        <is>
          <t>Advanced</t>
        </is>
      </c>
      <c r="E34" s="2" t="n">
        <v>5</v>
      </c>
      <c r="F34" s="2" t="inlineStr">
        <is>
          <t>Yes</t>
        </is>
      </c>
      <c r="G34" s="3" t="n"/>
      <c r="H34" s="5" t="inlineStr">
        <is>
          <t>Knows Carnatic Music</t>
        </is>
      </c>
    </row>
    <row r="35" ht="15" customHeight="1">
      <c r="A35" s="9" t="n">
        <v>32</v>
      </c>
      <c r="B35" s="10" t="inlineStr">
        <is>
          <t>PAFF06B5</t>
        </is>
      </c>
      <c r="C35" s="11" t="inlineStr">
        <is>
          <t>Yes</t>
        </is>
      </c>
      <c r="D35" s="10" t="inlineStr">
        <is>
          <t>Advanced</t>
        </is>
      </c>
      <c r="E35" s="11" t="n">
        <v>5</v>
      </c>
      <c r="F35" s="11" t="inlineStr">
        <is>
          <t>No</t>
        </is>
      </c>
      <c r="G35" s="10" t="inlineStr">
        <is>
          <t xml:space="preserve">Subhalakshmi </t>
        </is>
      </c>
      <c r="H35" s="12" t="inlineStr">
        <is>
          <t>Knows Carnatic Music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N193"/>
  <sheetViews>
    <sheetView topLeftCell="A163" zoomScale="75" workbookViewId="0">
      <selection activeCell="F183" sqref="F183"/>
    </sheetView>
  </sheetViews>
  <sheetFormatPr baseColWidth="10" defaultColWidth="12.6640625" defaultRowHeight="15.75" customHeight="1"/>
  <cols>
    <col width="25.6640625" bestFit="1" customWidth="1" style="14" min="1" max="1"/>
    <col width="24.83203125" bestFit="1" customWidth="1" style="14" min="2" max="2"/>
    <col width="19.6640625" bestFit="1" customWidth="1" style="14" min="3" max="3"/>
    <col width="15" bestFit="1" customWidth="1" style="14" min="4" max="4"/>
    <col width="54.83203125" bestFit="1" customWidth="1" style="14" min="5" max="5"/>
    <col width="52.5" bestFit="1" customWidth="1" style="14" min="6" max="6"/>
    <col width="12.33203125" bestFit="1" customWidth="1" style="14" min="7" max="7"/>
    <col width="33.6640625" bestFit="1" customWidth="1" style="14" min="8" max="8"/>
    <col width="11.6640625" bestFit="1" customWidth="1" style="14" min="9" max="9"/>
    <col width="20.1640625" bestFit="1" customWidth="1" style="14" min="10" max="10"/>
    <col width="113" bestFit="1" customWidth="1" style="14" min="11" max="11"/>
    <col width="20.5" bestFit="1" customWidth="1" style="14" min="12" max="12"/>
    <col width="7.5" bestFit="1" customWidth="1" style="14" min="13" max="13"/>
    <col width="8.33203125" bestFit="1" customWidth="1" style="14" min="14" max="14"/>
    <col width="12.6640625" customWidth="1" style="14" min="15" max="16384"/>
  </cols>
  <sheetData>
    <row r="1" ht="15.75" customHeight="1">
      <c r="A1" s="13" t="inlineStr">
        <is>
          <t>participant_id</t>
        </is>
      </c>
      <c r="B1" s="13" t="inlineStr">
        <is>
          <t>participant_persona</t>
        </is>
      </c>
      <c r="C1" s="13" t="inlineStr">
        <is>
          <t>response_timestamp</t>
        </is>
      </c>
      <c r="D1" s="13" t="inlineStr">
        <is>
          <t>trial_id</t>
        </is>
      </c>
      <c r="E1" s="13" t="inlineStr">
        <is>
          <t>source_clip_id</t>
        </is>
      </c>
      <c r="F1" s="13" t="inlineStr">
        <is>
          <t>audio_path</t>
        </is>
      </c>
      <c r="G1" s="13" t="inlineStr">
        <is>
          <t>trial_order</t>
        </is>
      </c>
      <c r="H1" s="13" t="inlineStr">
        <is>
          <t>musicality</t>
        </is>
      </c>
      <c r="I1" s="13" t="inlineStr">
        <is>
          <t>continuity</t>
        </is>
      </c>
      <c r="J1" s="13" t="inlineStr">
        <is>
          <t>carnatic_authenticity</t>
        </is>
      </c>
      <c r="K1" s="13" t="inlineStr">
        <is>
          <t>trial_comment</t>
        </is>
      </c>
      <c r="L1" s="13" t="inlineStr">
        <is>
          <t>performer_type</t>
        </is>
      </c>
      <c r="M1" s="13" t="inlineStr">
        <is>
          <t>split</t>
        </is>
      </c>
      <c r="N1" s="13" t="inlineStr">
        <is>
          <t>notes</t>
        </is>
      </c>
    </row>
    <row r="2" ht="15.75" customHeight="1">
      <c r="A2" s="13" t="inlineStr">
        <is>
          <t>PA00930C</t>
        </is>
      </c>
      <c r="B2" s="13">
        <f>VLOOKUP(A2,Table1[[#All],[Participant ID]:[Persona]],7,0)</f>
        <v/>
      </c>
      <c r="C2" s="15" t="inlineStr">
        <is>
          <t>2026-04-04T15:40:53</t>
        </is>
      </c>
      <c r="D2" s="13" t="inlineStr">
        <is>
          <t>L01</t>
        </is>
      </c>
      <c r="E2" s="13" t="inlineStr">
        <is>
          <t>Chakkani_Raja_seg0058-finetuned_20s</t>
        </is>
      </c>
      <c r="F2" s="13" t="inlineStr">
        <is>
          <t>audio/likert/Chakkani_Raja_seg0058-finetuned_20s.wav</t>
        </is>
      </c>
      <c r="G2" s="13" t="n">
        <v>1</v>
      </c>
      <c r="H2" s="13" t="n">
        <v>5</v>
      </c>
      <c r="I2" s="13" t="n">
        <v>4</v>
      </c>
      <c r="J2" s="13" t="n">
        <v>5</v>
      </c>
      <c r="K2" s="13" t="inlineStr">
        <is>
          <t xml:space="preserve">Continuity or transition can be improved. </t>
        </is>
      </c>
      <c r="L2" s="13" t="inlineStr">
        <is>
          <t>Vocal</t>
        </is>
      </c>
      <c r="M2" s="13" t="inlineStr">
        <is>
          <t>test</t>
        </is>
      </c>
      <c r="N2" s="13" t="n"/>
    </row>
    <row r="3" ht="15.75" customHeight="1">
      <c r="A3" s="13" t="inlineStr">
        <is>
          <t>PA00930C</t>
        </is>
      </c>
      <c r="B3" s="13">
        <f>VLOOKUP(A3,Table1[[#All],[Participant ID]:[Persona]],7,0)</f>
        <v/>
      </c>
      <c r="C3" s="15" t="inlineStr">
        <is>
          <t>2026-04-04T15:40:53</t>
        </is>
      </c>
      <c r="D3" s="13" t="inlineStr">
        <is>
          <t>L03</t>
        </is>
      </c>
      <c r="E3" s="13" t="inlineStr">
        <is>
          <t>Nannupalimpa_seg0044-finetuned_20s</t>
        </is>
      </c>
      <c r="F3" s="13" t="inlineStr">
        <is>
          <t>audio/likert/Nannupalimpa_seg0044-finetuned_20s.wav</t>
        </is>
      </c>
      <c r="G3" s="13" t="n">
        <v>2</v>
      </c>
      <c r="H3" s="13" t="n">
        <v>3</v>
      </c>
      <c r="I3" s="13" t="n">
        <v>4</v>
      </c>
      <c r="J3" s="13" t="n">
        <v>4</v>
      </c>
      <c r="K3" s="13" t="inlineStr">
        <is>
          <t xml:space="preserve">Towards the end, it needs improvement in musicality and authenticity. </t>
        </is>
      </c>
      <c r="L3" s="13" t="inlineStr">
        <is>
          <t>Vocal</t>
        </is>
      </c>
      <c r="M3" s="13" t="inlineStr">
        <is>
          <t>test</t>
        </is>
      </c>
      <c r="N3" s="13" t="n"/>
    </row>
    <row r="4" ht="15.75" customHeight="1">
      <c r="A4" s="13" t="inlineStr">
        <is>
          <t>PA00930C</t>
        </is>
      </c>
      <c r="B4" s="13">
        <f>VLOOKUP(A4,Table1[[#All],[Participant ID]:[Persona]],7,0)</f>
        <v/>
      </c>
      <c r="C4" s="15" t="inlineStr">
        <is>
          <t>2026-04-04T15:40:53</t>
        </is>
      </c>
      <c r="D4" s="13" t="inlineStr">
        <is>
          <t>L02</t>
        </is>
      </c>
      <c r="E4" s="13" t="inlineStr">
        <is>
          <t>Chakkani_Raja_seg0200-finetuned_20s</t>
        </is>
      </c>
      <c r="F4" s="13" t="inlineStr">
        <is>
          <t>audio/likert/Chakkani_Raja_seg0200-finetuned_20s.wav</t>
        </is>
      </c>
      <c r="G4" s="13" t="n">
        <v>3</v>
      </c>
      <c r="H4" s="13" t="n">
        <v>3</v>
      </c>
      <c r="I4" s="13" t="n">
        <v>3</v>
      </c>
      <c r="J4" s="13" t="n">
        <v>3</v>
      </c>
      <c r="K4" s="13" t="inlineStr">
        <is>
          <t xml:space="preserve">Continuity, musicality and authenticity can be fine tuned. </t>
        </is>
      </c>
      <c r="L4" s="13" t="inlineStr">
        <is>
          <t>Instrumental - Violin</t>
        </is>
      </c>
      <c r="M4" s="13" t="inlineStr">
        <is>
          <t>test</t>
        </is>
      </c>
      <c r="N4" s="13" t="n"/>
    </row>
    <row r="5" ht="15.75" customHeight="1">
      <c r="A5" s="13" t="inlineStr">
        <is>
          <t>PA00930C</t>
        </is>
      </c>
      <c r="B5" s="13">
        <f>VLOOKUP(A5,Table1[[#All],[Participant ID]:[Persona]],7,0)</f>
        <v/>
      </c>
      <c r="C5" s="15" t="inlineStr">
        <is>
          <t>2026-04-04T15:40:53</t>
        </is>
      </c>
      <c r="D5" s="13" t="inlineStr">
        <is>
          <t>L04</t>
        </is>
      </c>
      <c r="E5" s="13" t="inlineStr">
        <is>
          <t>Ramanatham_Bhajeham_seg0195-finetuned_20s</t>
        </is>
      </c>
      <c r="F5" s="13" t="inlineStr">
        <is>
          <t>audio/likert/Ramanatham_Bhajeham_seg0195-finetuned_20s.wav</t>
        </is>
      </c>
      <c r="G5" s="13" t="n">
        <v>4</v>
      </c>
      <c r="H5" s="13" t="n">
        <v>4</v>
      </c>
      <c r="I5" s="13" t="n">
        <v>5</v>
      </c>
      <c r="J5" s="13" t="n">
        <v>3</v>
      </c>
      <c r="K5" s="13" t="inlineStr">
        <is>
          <t xml:space="preserve">Around 14 to 16 seconds, it increased the speed and towards the end, voice pick up can be improved. </t>
        </is>
      </c>
      <c r="L5" s="13" t="inlineStr">
        <is>
          <t>Instrumental - Percussion</t>
        </is>
      </c>
      <c r="M5" s="13" t="inlineStr">
        <is>
          <t>test</t>
        </is>
      </c>
      <c r="N5" s="13" t="n"/>
    </row>
    <row r="6" ht="15.75" customHeight="1">
      <c r="A6" s="13" t="inlineStr">
        <is>
          <t>PA00930C</t>
        </is>
      </c>
      <c r="B6" s="13">
        <f>VLOOKUP(A6,Table1[[#All],[Participant ID]:[Persona]],7,0)</f>
        <v/>
      </c>
      <c r="C6" s="15" t="inlineStr">
        <is>
          <t>2026-04-04T15:40:53</t>
        </is>
      </c>
      <c r="D6" s="13" t="inlineStr">
        <is>
          <t>L06</t>
        </is>
      </c>
      <c r="E6" s="13" t="inlineStr">
        <is>
          <t>Vizhikkuttunai_seg0041-finetuned_20s</t>
        </is>
      </c>
      <c r="F6" s="13" t="inlineStr">
        <is>
          <t>audio/likert/Vizhikkuttunai_seg0041-finetuned_20s.wav</t>
        </is>
      </c>
      <c r="G6" s="13" t="n">
        <v>5</v>
      </c>
      <c r="H6" s="13" t="n">
        <v>4</v>
      </c>
      <c r="I6" s="13" t="n">
        <v>5</v>
      </c>
      <c r="J6" s="13" t="n">
        <v>5</v>
      </c>
      <c r="K6" s="13" t="inlineStr">
        <is>
          <t xml:space="preserve">Over all good. But musicality can be improved. </t>
        </is>
      </c>
      <c r="L6" s="13" t="inlineStr">
        <is>
          <t>Vocal</t>
        </is>
      </c>
      <c r="M6" s="13" t="inlineStr">
        <is>
          <t>test</t>
        </is>
      </c>
      <c r="N6" s="13" t="n"/>
    </row>
    <row r="7" ht="15.75" customHeight="1">
      <c r="A7" s="13" t="inlineStr">
        <is>
          <t>PA00930C</t>
        </is>
      </c>
      <c r="B7" s="13">
        <f>VLOOKUP(A7,Table1[[#All],[Participant ID]:[Persona]],7,0)</f>
        <v/>
      </c>
      <c r="C7" s="15" t="inlineStr">
        <is>
          <t>2026-04-04T15:40:53</t>
        </is>
      </c>
      <c r="D7" s="13" t="inlineStr">
        <is>
          <t>L05</t>
        </is>
      </c>
      <c r="E7" s="13" t="inlineStr">
        <is>
          <t>Seshachala_Nayakam_seg0142-finetuned_20s</t>
        </is>
      </c>
      <c r="F7" s="13" t="inlineStr">
        <is>
          <t>audio/likert/Seshachala_Nayakam_seg0142-finetuned_20s.wav</t>
        </is>
      </c>
      <c r="G7" s="13" t="n">
        <v>6</v>
      </c>
      <c r="H7" s="13" t="n">
        <v>4</v>
      </c>
      <c r="I7" s="13" t="n">
        <v>5</v>
      </c>
      <c r="J7" s="13" t="n">
        <v>3</v>
      </c>
      <c r="K7" s="13" t="inlineStr">
        <is>
          <t xml:space="preserve">Musicality and carnatic styles could be improved. </t>
        </is>
      </c>
      <c r="L7" s="13" t="inlineStr">
        <is>
          <t>Instrumental - Violin</t>
        </is>
      </c>
      <c r="M7" s="13" t="inlineStr">
        <is>
          <t>test</t>
        </is>
      </c>
      <c r="N7" s="13" t="n"/>
    </row>
    <row r="8" ht="15.75" customHeight="1">
      <c r="A8" s="13" t="inlineStr">
        <is>
          <t>PA7FB7E0</t>
        </is>
      </c>
      <c r="B8" s="13">
        <f>VLOOKUP(A8,Table1[[#All],[Participant ID]:[Persona]],7,0)</f>
        <v/>
      </c>
      <c r="C8" s="15" t="inlineStr">
        <is>
          <t>2026-04-04T16:46:28</t>
        </is>
      </c>
      <c r="D8" s="13" t="inlineStr">
        <is>
          <t>L03</t>
        </is>
      </c>
      <c r="E8" s="13" t="inlineStr">
        <is>
          <t>Nannupalimpa_seg0044-finetuned_20s</t>
        </is>
      </c>
      <c r="F8" s="13" t="inlineStr">
        <is>
          <t>audio/likert/Nannupalimpa_seg0044-finetuned_20s.wav</t>
        </is>
      </c>
      <c r="G8" s="13" t="n">
        <v>1</v>
      </c>
      <c r="H8" s="13" t="n">
        <v>4</v>
      </c>
      <c r="I8" s="13" t="n">
        <v>5</v>
      </c>
      <c r="J8" s="13" t="n">
        <v>4</v>
      </c>
      <c r="K8" s="13" t="n"/>
      <c r="L8" s="13" t="inlineStr">
        <is>
          <t>Vocal</t>
        </is>
      </c>
      <c r="M8" s="13" t="inlineStr">
        <is>
          <t>test</t>
        </is>
      </c>
      <c r="N8" s="13" t="n"/>
    </row>
    <row r="9" ht="15.75" customHeight="1">
      <c r="A9" s="13" t="inlineStr">
        <is>
          <t>PA7FB7E0</t>
        </is>
      </c>
      <c r="B9" s="13">
        <f>VLOOKUP(A9,Table1[[#All],[Participant ID]:[Persona]],7,0)</f>
        <v/>
      </c>
      <c r="C9" s="15" t="inlineStr">
        <is>
          <t>2026-04-04T16:46:28</t>
        </is>
      </c>
      <c r="D9" s="13" t="inlineStr">
        <is>
          <t>L04</t>
        </is>
      </c>
      <c r="E9" s="13" t="inlineStr">
        <is>
          <t>Ramanatham_Bhajeham_seg0195-finetuned_20s</t>
        </is>
      </c>
      <c r="F9" s="13" t="inlineStr">
        <is>
          <t>audio/likert/Ramanatham_Bhajeham_seg0195-finetuned_20s.wav</t>
        </is>
      </c>
      <c r="G9" s="13" t="n">
        <v>2</v>
      </c>
      <c r="H9" s="13" t="n">
        <v>4</v>
      </c>
      <c r="I9" s="13" t="n">
        <v>5</v>
      </c>
      <c r="J9" s="13" t="n">
        <v>3</v>
      </c>
      <c r="K9" s="13" t="n"/>
      <c r="L9" s="13" t="inlineStr">
        <is>
          <t>Instrumental - Percussion</t>
        </is>
      </c>
      <c r="M9" s="13" t="inlineStr">
        <is>
          <t>test</t>
        </is>
      </c>
      <c r="N9" s="13" t="n"/>
    </row>
    <row r="10" ht="15.75" customHeight="1">
      <c r="A10" s="13" t="inlineStr">
        <is>
          <t>PA7FB7E0</t>
        </is>
      </c>
      <c r="B10" s="13">
        <f>VLOOKUP(A10,Table1[[#All],[Participant ID]:[Persona]],7,0)</f>
        <v/>
      </c>
      <c r="C10" s="15" t="inlineStr">
        <is>
          <t>2026-04-04T16:46:28</t>
        </is>
      </c>
      <c r="D10" s="13" t="inlineStr">
        <is>
          <t>L01</t>
        </is>
      </c>
      <c r="E10" s="13" t="inlineStr">
        <is>
          <t>Chakkani_Raja_seg0058-finetuned_20s</t>
        </is>
      </c>
      <c r="F10" s="13" t="inlineStr">
        <is>
          <t>audio/likert/Chakkani_Raja_seg0058-finetuned_20s.wav</t>
        </is>
      </c>
      <c r="G10" s="13" t="n">
        <v>3</v>
      </c>
      <c r="H10" s="13" t="n">
        <v>4</v>
      </c>
      <c r="I10" s="13" t="n">
        <v>3</v>
      </c>
      <c r="J10" s="13" t="n">
        <v>4</v>
      </c>
      <c r="K10" s="13" t="n"/>
      <c r="L10" s="13" t="inlineStr">
        <is>
          <t>Vocal</t>
        </is>
      </c>
      <c r="M10" s="13" t="inlineStr">
        <is>
          <t>test</t>
        </is>
      </c>
      <c r="N10" s="13" t="n"/>
    </row>
    <row r="11" ht="15.75" customHeight="1">
      <c r="A11" s="13" t="inlineStr">
        <is>
          <t>PA7FB7E0</t>
        </is>
      </c>
      <c r="B11" s="13">
        <f>VLOOKUP(A11,Table1[[#All],[Participant ID]:[Persona]],7,0)</f>
        <v/>
      </c>
      <c r="C11" s="15" t="inlineStr">
        <is>
          <t>2026-04-04T16:46:28</t>
        </is>
      </c>
      <c r="D11" s="13" t="inlineStr">
        <is>
          <t>L06</t>
        </is>
      </c>
      <c r="E11" s="13" t="inlineStr">
        <is>
          <t>Vizhikkuttunai_seg0041-finetuned_20s</t>
        </is>
      </c>
      <c r="F11" s="13" t="inlineStr">
        <is>
          <t>audio/likert/Vizhikkuttunai_seg0041-finetuned_20s.wav</t>
        </is>
      </c>
      <c r="G11" s="13" t="n">
        <v>4</v>
      </c>
      <c r="H11" s="13" t="n">
        <v>4</v>
      </c>
      <c r="I11" s="13" t="n">
        <v>3</v>
      </c>
      <c r="J11" s="13" t="n">
        <v>5</v>
      </c>
      <c r="K11" s="13" t="n"/>
      <c r="L11" s="13" t="inlineStr">
        <is>
          <t>Vocal</t>
        </is>
      </c>
      <c r="M11" s="13" t="inlineStr">
        <is>
          <t>test</t>
        </is>
      </c>
      <c r="N11" s="13" t="n"/>
    </row>
    <row r="12" ht="15.75" customHeight="1">
      <c r="A12" s="13" t="inlineStr">
        <is>
          <t>PA7FB7E0</t>
        </is>
      </c>
      <c r="B12" s="13">
        <f>VLOOKUP(A12,Table1[[#All],[Participant ID]:[Persona]],7,0)</f>
        <v/>
      </c>
      <c r="C12" s="15" t="inlineStr">
        <is>
          <t>2026-04-04T16:46:28</t>
        </is>
      </c>
      <c r="D12" s="13" t="inlineStr">
        <is>
          <t>L02</t>
        </is>
      </c>
      <c r="E12" s="13" t="inlineStr">
        <is>
          <t>Chakkani_Raja_seg0200-finetuned_20s</t>
        </is>
      </c>
      <c r="F12" s="13" t="inlineStr">
        <is>
          <t>audio/likert/Chakkani_Raja_seg0200-finetuned_20s.wav</t>
        </is>
      </c>
      <c r="G12" s="13" t="n">
        <v>5</v>
      </c>
      <c r="H12" s="13" t="n">
        <v>3</v>
      </c>
      <c r="I12" s="13" t="n">
        <v>3</v>
      </c>
      <c r="J12" s="13" t="n">
        <v>4</v>
      </c>
      <c r="K12" s="13" t="n"/>
      <c r="L12" s="13" t="inlineStr">
        <is>
          <t>Instrumental - Violin</t>
        </is>
      </c>
      <c r="M12" s="13" t="inlineStr">
        <is>
          <t>test</t>
        </is>
      </c>
      <c r="N12" s="13" t="n"/>
    </row>
    <row r="13" ht="15.75" customHeight="1">
      <c r="A13" s="13" t="inlineStr">
        <is>
          <t>PA7FB7E0</t>
        </is>
      </c>
      <c r="B13" s="13">
        <f>VLOOKUP(A13,Table1[[#All],[Participant ID]:[Persona]],7,0)</f>
        <v/>
      </c>
      <c r="C13" s="15" t="inlineStr">
        <is>
          <t>2026-04-04T16:46:28</t>
        </is>
      </c>
      <c r="D13" s="13" t="inlineStr">
        <is>
          <t>L05</t>
        </is>
      </c>
      <c r="E13" s="13" t="inlineStr">
        <is>
          <t>Seshachala_Nayakam_seg0142-finetuned_20s</t>
        </is>
      </c>
      <c r="F13" s="13" t="inlineStr">
        <is>
          <t>audio/likert/Seshachala_Nayakam_seg0142-finetuned_20s.wav</t>
        </is>
      </c>
      <c r="G13" s="13" t="n">
        <v>6</v>
      </c>
      <c r="H13" s="13" t="n">
        <v>4</v>
      </c>
      <c r="I13" s="13" t="n">
        <v>3</v>
      </c>
      <c r="J13" s="13" t="n">
        <v>4</v>
      </c>
      <c r="K13" s="13" t="n"/>
      <c r="L13" s="13" t="inlineStr">
        <is>
          <t>Instrumental - Violin</t>
        </is>
      </c>
      <c r="M13" s="13" t="inlineStr">
        <is>
          <t>test</t>
        </is>
      </c>
      <c r="N13" s="13" t="n"/>
    </row>
    <row r="14" ht="15.75" customHeight="1">
      <c r="A14" s="13" t="inlineStr">
        <is>
          <t>PA61145F</t>
        </is>
      </c>
      <c r="B14" s="13">
        <f>VLOOKUP(A14,Table1[[#All],[Participant ID]:[Persona]],7,0)</f>
        <v/>
      </c>
      <c r="C14" s="15" t="inlineStr">
        <is>
          <t>2026-04-05T02:16:13</t>
        </is>
      </c>
      <c r="D14" s="13" t="inlineStr">
        <is>
          <t>L06</t>
        </is>
      </c>
      <c r="E14" s="13" t="inlineStr">
        <is>
          <t>Vizhikkuttunai_seg0041-finetuned_20s</t>
        </is>
      </c>
      <c r="F14" s="13" t="inlineStr">
        <is>
          <t>audio/likert/Vizhikkuttunai_seg0041-finetuned_20s.wav</t>
        </is>
      </c>
      <c r="G14" s="13" t="n">
        <v>1</v>
      </c>
      <c r="H14" s="13" t="n">
        <v>5</v>
      </c>
      <c r="I14" s="13" t="n">
        <v>4</v>
      </c>
      <c r="J14" s="13" t="n">
        <v>4</v>
      </c>
      <c r="K14" s="13" t="inlineStr">
        <is>
          <t>Lyrics is not clear after 10 seconds</t>
        </is>
      </c>
      <c r="L14" s="13" t="inlineStr">
        <is>
          <t>Vocal</t>
        </is>
      </c>
      <c r="M14" s="13" t="inlineStr">
        <is>
          <t>test</t>
        </is>
      </c>
      <c r="N14" s="13" t="n"/>
    </row>
    <row r="15" ht="15.75" customHeight="1">
      <c r="A15" s="13" t="inlineStr">
        <is>
          <t>PA61145F</t>
        </is>
      </c>
      <c r="B15" s="13">
        <f>VLOOKUP(A15,Table1[[#All],[Participant ID]:[Persona]],7,0)</f>
        <v/>
      </c>
      <c r="C15" s="15" t="inlineStr">
        <is>
          <t>2026-04-05T02:16:13</t>
        </is>
      </c>
      <c r="D15" s="13" t="inlineStr">
        <is>
          <t>L04</t>
        </is>
      </c>
      <c r="E15" s="13" t="inlineStr">
        <is>
          <t>Ramanatham_Bhajeham_seg0195-finetuned_20s</t>
        </is>
      </c>
      <c r="F15" s="13" t="inlineStr">
        <is>
          <t>audio/likert/Ramanatham_Bhajeham_seg0195-finetuned_20s.wav</t>
        </is>
      </c>
      <c r="G15" s="13" t="n">
        <v>2</v>
      </c>
      <c r="H15" s="13" t="n">
        <v>4</v>
      </c>
      <c r="I15" s="13" t="n">
        <v>4</v>
      </c>
      <c r="J15" s="13" t="n">
        <v>4</v>
      </c>
      <c r="K15" s="13" t="n"/>
      <c r="L15" s="13" t="inlineStr">
        <is>
          <t>Instrumental - Percussion</t>
        </is>
      </c>
      <c r="M15" s="13" t="inlineStr">
        <is>
          <t>test</t>
        </is>
      </c>
      <c r="N15" s="13" t="n"/>
    </row>
    <row r="16" ht="15.75" customHeight="1">
      <c r="A16" s="13" t="inlineStr">
        <is>
          <t>PA61145F</t>
        </is>
      </c>
      <c r="B16" s="13">
        <f>VLOOKUP(A16,Table1[[#All],[Participant ID]:[Persona]],7,0)</f>
        <v/>
      </c>
      <c r="C16" s="15" t="inlineStr">
        <is>
          <t>2026-04-05T02:16:13</t>
        </is>
      </c>
      <c r="D16" s="13" t="inlineStr">
        <is>
          <t>L02</t>
        </is>
      </c>
      <c r="E16" s="13" t="inlineStr">
        <is>
          <t>Chakkani_Raja_seg0200-finetuned_20s</t>
        </is>
      </c>
      <c r="F16" s="13" t="inlineStr">
        <is>
          <t>audio/likert/Chakkani_Raja_seg0200-finetuned_20s.wav</t>
        </is>
      </c>
      <c r="G16" s="13" t="n">
        <v>3</v>
      </c>
      <c r="H16" s="13" t="n">
        <v>3</v>
      </c>
      <c r="I16" s="13" t="n">
        <v>3</v>
      </c>
      <c r="J16" s="13" t="n">
        <v>3</v>
      </c>
      <c r="K16" s="13" t="inlineStr">
        <is>
          <t xml:space="preserve">Tempo is missing after 10 seconds </t>
        </is>
      </c>
      <c r="L16" s="13" t="inlineStr">
        <is>
          <t>Instrumental - Violin</t>
        </is>
      </c>
      <c r="M16" s="13" t="inlineStr">
        <is>
          <t>test</t>
        </is>
      </c>
      <c r="N16" s="13" t="n"/>
    </row>
    <row r="17" ht="15.75" customHeight="1">
      <c r="A17" s="13" t="inlineStr">
        <is>
          <t>PA61145F</t>
        </is>
      </c>
      <c r="B17" s="13">
        <f>VLOOKUP(A17,Table1[[#All],[Participant ID]:[Persona]],7,0)</f>
        <v/>
      </c>
      <c r="C17" s="15" t="inlineStr">
        <is>
          <t>2026-04-05T02:16:13</t>
        </is>
      </c>
      <c r="D17" s="13" t="inlineStr">
        <is>
          <t>L05</t>
        </is>
      </c>
      <c r="E17" s="13" t="inlineStr">
        <is>
          <t>Seshachala_Nayakam_seg0142-finetuned_20s</t>
        </is>
      </c>
      <c r="F17" s="13" t="inlineStr">
        <is>
          <t>audio/likert/Seshachala_Nayakam_seg0142-finetuned_20s.wav</t>
        </is>
      </c>
      <c r="G17" s="13" t="n">
        <v>4</v>
      </c>
      <c r="H17" s="13" t="n">
        <v>4</v>
      </c>
      <c r="I17" s="13" t="n">
        <v>4</v>
      </c>
      <c r="J17" s="13" t="n">
        <v>4</v>
      </c>
      <c r="K17" s="13" t="n"/>
      <c r="L17" s="13" t="inlineStr">
        <is>
          <t>Instrumental - Violin</t>
        </is>
      </c>
      <c r="M17" s="13" t="inlineStr">
        <is>
          <t>test</t>
        </is>
      </c>
      <c r="N17" s="13" t="n"/>
    </row>
    <row r="18" ht="15.75" customHeight="1">
      <c r="A18" s="13" t="inlineStr">
        <is>
          <t>PA61145F</t>
        </is>
      </c>
      <c r="B18" s="13">
        <f>VLOOKUP(A18,Table1[[#All],[Participant ID]:[Persona]],7,0)</f>
        <v/>
      </c>
      <c r="C18" s="15" t="inlineStr">
        <is>
          <t>2026-04-05T02:16:13</t>
        </is>
      </c>
      <c r="D18" s="13" t="inlineStr">
        <is>
          <t>L03</t>
        </is>
      </c>
      <c r="E18" s="13" t="inlineStr">
        <is>
          <t>Nannupalimpa_seg0044-finetuned_20s</t>
        </is>
      </c>
      <c r="F18" s="13" t="inlineStr">
        <is>
          <t>audio/likert/Nannupalimpa_seg0044-finetuned_20s.wav</t>
        </is>
      </c>
      <c r="G18" s="13" t="n">
        <v>5</v>
      </c>
      <c r="H18" s="13" t="n">
        <v>4</v>
      </c>
      <c r="I18" s="13" t="n">
        <v>4</v>
      </c>
      <c r="J18" s="13" t="n">
        <v>4</v>
      </c>
      <c r="K18" s="13" t="inlineStr">
        <is>
          <t xml:space="preserve">Two voices are heard after 10 seconds </t>
        </is>
      </c>
      <c r="L18" s="13" t="inlineStr">
        <is>
          <t>Vocal</t>
        </is>
      </c>
      <c r="M18" s="13" t="inlineStr">
        <is>
          <t>test</t>
        </is>
      </c>
      <c r="N18" s="13" t="n"/>
    </row>
    <row r="19" ht="15.75" customHeight="1">
      <c r="A19" s="13" t="inlineStr">
        <is>
          <t>PA61145F</t>
        </is>
      </c>
      <c r="B19" s="13">
        <f>VLOOKUP(A19,Table1[[#All],[Participant ID]:[Persona]],7,0)</f>
        <v/>
      </c>
      <c r="C19" s="15" t="inlineStr">
        <is>
          <t>2026-04-05T02:16:13</t>
        </is>
      </c>
      <c r="D19" s="13" t="inlineStr">
        <is>
          <t>L01</t>
        </is>
      </c>
      <c r="E19" s="13" t="inlineStr">
        <is>
          <t>Chakkani_Raja_seg0058-finetuned_20s</t>
        </is>
      </c>
      <c r="F19" s="13" t="inlineStr">
        <is>
          <t>audio/likert/Chakkani_Raja_seg0058-finetuned_20s.wav</t>
        </is>
      </c>
      <c r="G19" s="13" t="n">
        <v>6</v>
      </c>
      <c r="H19" s="13" t="n">
        <v>4</v>
      </c>
      <c r="I19" s="13" t="n">
        <v>4</v>
      </c>
      <c r="J19" s="13" t="n">
        <v>4</v>
      </c>
      <c r="K19" s="13" t="n"/>
      <c r="L19" s="13" t="inlineStr">
        <is>
          <t>Vocal</t>
        </is>
      </c>
      <c r="M19" s="13" t="inlineStr">
        <is>
          <t>test</t>
        </is>
      </c>
      <c r="N19" s="13" t="n"/>
    </row>
    <row r="20" ht="15.75" customHeight="1">
      <c r="A20" s="13" t="inlineStr">
        <is>
          <t>PA56F0AC</t>
        </is>
      </c>
      <c r="B20" s="13">
        <f>VLOOKUP(A20,Table1[[#All],[Participant ID]:[Persona]],7,0)</f>
        <v/>
      </c>
      <c r="C20" s="15" t="inlineStr">
        <is>
          <t>2026-04-05T04:43:30</t>
        </is>
      </c>
      <c r="D20" s="13" t="inlineStr">
        <is>
          <t>L01</t>
        </is>
      </c>
      <c r="E20" s="13" t="inlineStr">
        <is>
          <t>Chakkani_Raja_seg0058-finetuned_20s</t>
        </is>
      </c>
      <c r="F20" s="13" t="inlineStr">
        <is>
          <t>audio/likert/Chakkani_Raja_seg0058-finetuned_20s.wav</t>
        </is>
      </c>
      <c r="G20" s="13" t="n">
        <v>1</v>
      </c>
      <c r="H20" s="13" t="n">
        <v>3</v>
      </c>
      <c r="I20" s="13" t="n">
        <v>4</v>
      </c>
      <c r="J20" s="13" t="n">
        <v>2</v>
      </c>
      <c r="K20" s="13" t="n"/>
      <c r="L20" s="13" t="inlineStr">
        <is>
          <t>Vocal</t>
        </is>
      </c>
      <c r="M20" s="13" t="inlineStr">
        <is>
          <t>test</t>
        </is>
      </c>
      <c r="N20" s="13" t="n"/>
    </row>
    <row r="21" ht="15.75" customHeight="1">
      <c r="A21" s="13" t="inlineStr">
        <is>
          <t>PA56F0AC</t>
        </is>
      </c>
      <c r="B21" s="13">
        <f>VLOOKUP(A21,Table1[[#All],[Participant ID]:[Persona]],7,0)</f>
        <v/>
      </c>
      <c r="C21" s="15" t="inlineStr">
        <is>
          <t>2026-04-05T04:43:30</t>
        </is>
      </c>
      <c r="D21" s="13" t="inlineStr">
        <is>
          <t>L02</t>
        </is>
      </c>
      <c r="E21" s="13" t="inlineStr">
        <is>
          <t>Chakkani_Raja_seg0200-finetuned_20s</t>
        </is>
      </c>
      <c r="F21" s="13" t="inlineStr">
        <is>
          <t>audio/likert/Chakkani_Raja_seg0200-finetuned_20s.wav</t>
        </is>
      </c>
      <c r="G21" s="13" t="n">
        <v>2</v>
      </c>
      <c r="H21" s="13" t="n">
        <v>3</v>
      </c>
      <c r="I21" s="13" t="n">
        <v>3</v>
      </c>
      <c r="J21" s="13" t="n">
        <v>2</v>
      </c>
      <c r="K21" s="13" t="n"/>
      <c r="L21" s="13" t="inlineStr">
        <is>
          <t>Instrumental - Violin</t>
        </is>
      </c>
      <c r="M21" s="13" t="inlineStr">
        <is>
          <t>test</t>
        </is>
      </c>
      <c r="N21" s="13" t="n"/>
    </row>
    <row r="22" ht="15.75" customHeight="1">
      <c r="A22" s="13" t="inlineStr">
        <is>
          <t>PA56F0AC</t>
        </is>
      </c>
      <c r="B22" s="13">
        <f>VLOOKUP(A22,Table1[[#All],[Participant ID]:[Persona]],7,0)</f>
        <v/>
      </c>
      <c r="C22" s="15" t="inlineStr">
        <is>
          <t>2026-04-05T04:43:30</t>
        </is>
      </c>
      <c r="D22" s="13" t="inlineStr">
        <is>
          <t>L03</t>
        </is>
      </c>
      <c r="E22" s="13" t="inlineStr">
        <is>
          <t>Nannupalimpa_seg0044-finetuned_20s</t>
        </is>
      </c>
      <c r="F22" s="13" t="inlineStr">
        <is>
          <t>audio/likert/Nannupalimpa_seg0044-finetuned_20s.wav</t>
        </is>
      </c>
      <c r="G22" s="13" t="n">
        <v>3</v>
      </c>
      <c r="H22" s="13" t="n">
        <v>2</v>
      </c>
      <c r="I22" s="13" t="n">
        <v>2</v>
      </c>
      <c r="J22" s="13" t="n">
        <v>2</v>
      </c>
      <c r="K22" s="13" t="n"/>
      <c r="L22" s="13" t="inlineStr">
        <is>
          <t>Vocal</t>
        </is>
      </c>
      <c r="M22" s="13" t="inlineStr">
        <is>
          <t>test</t>
        </is>
      </c>
      <c r="N22" s="13" t="n"/>
    </row>
    <row r="23" ht="15.75" customHeight="1">
      <c r="A23" s="13" t="inlineStr">
        <is>
          <t>PA56F0AC</t>
        </is>
      </c>
      <c r="B23" s="13">
        <f>VLOOKUP(A23,Table1[[#All],[Participant ID]:[Persona]],7,0)</f>
        <v/>
      </c>
      <c r="C23" s="15" t="inlineStr">
        <is>
          <t>2026-04-05T04:43:30</t>
        </is>
      </c>
      <c r="D23" s="13" t="inlineStr">
        <is>
          <t>L05</t>
        </is>
      </c>
      <c r="E23" s="13" t="inlineStr">
        <is>
          <t>Seshachala_Nayakam_seg0142-finetuned_20s</t>
        </is>
      </c>
      <c r="F23" s="13" t="inlineStr">
        <is>
          <t>audio/likert/Seshachala_Nayakam_seg0142-finetuned_20s.wav</t>
        </is>
      </c>
      <c r="G23" s="13" t="n">
        <v>4</v>
      </c>
      <c r="H23" s="13" t="n">
        <v>3</v>
      </c>
      <c r="I23" s="13" t="n">
        <v>2</v>
      </c>
      <c r="J23" s="13" t="n">
        <v>3</v>
      </c>
      <c r="K23" s="13" t="n"/>
      <c r="L23" s="13" t="inlineStr">
        <is>
          <t>Instrumental - Violin</t>
        </is>
      </c>
      <c r="M23" s="13" t="inlineStr">
        <is>
          <t>test</t>
        </is>
      </c>
      <c r="N23" s="13" t="n"/>
    </row>
    <row r="24" ht="15.75" customHeight="1">
      <c r="A24" s="13" t="inlineStr">
        <is>
          <t>PA56F0AC</t>
        </is>
      </c>
      <c r="B24" s="13">
        <f>VLOOKUP(A24,Table1[[#All],[Participant ID]:[Persona]],7,0)</f>
        <v/>
      </c>
      <c r="C24" s="15" t="inlineStr">
        <is>
          <t>2026-04-05T04:43:30</t>
        </is>
      </c>
      <c r="D24" s="13" t="inlineStr">
        <is>
          <t>L04</t>
        </is>
      </c>
      <c r="E24" s="13" t="inlineStr">
        <is>
          <t>Ramanatham_Bhajeham_seg0195-finetuned_20s</t>
        </is>
      </c>
      <c r="F24" s="13" t="inlineStr">
        <is>
          <t>audio/likert/Ramanatham_Bhajeham_seg0195-finetuned_20s.wav</t>
        </is>
      </c>
      <c r="G24" s="13" t="n">
        <v>5</v>
      </c>
      <c r="H24" s="13" t="n">
        <v>3</v>
      </c>
      <c r="I24" s="13" t="n">
        <v>2</v>
      </c>
      <c r="J24" s="13" t="n">
        <v>3</v>
      </c>
      <c r="K24" s="13" t="n"/>
      <c r="L24" s="13" t="inlineStr">
        <is>
          <t>Instrumental - Percussion</t>
        </is>
      </c>
      <c r="M24" s="13" t="inlineStr">
        <is>
          <t>test</t>
        </is>
      </c>
      <c r="N24" s="13" t="n"/>
    </row>
    <row r="25" ht="15.75" customHeight="1">
      <c r="A25" s="13" t="inlineStr">
        <is>
          <t>PA56F0AC</t>
        </is>
      </c>
      <c r="B25" s="13">
        <f>VLOOKUP(A25,Table1[[#All],[Participant ID]:[Persona]],7,0)</f>
        <v/>
      </c>
      <c r="C25" s="15" t="inlineStr">
        <is>
          <t>2026-04-05T04:43:30</t>
        </is>
      </c>
      <c r="D25" s="13" t="inlineStr">
        <is>
          <t>L06</t>
        </is>
      </c>
      <c r="E25" s="13" t="inlineStr">
        <is>
          <t>Vizhikkuttunai_seg0041-finetuned_20s</t>
        </is>
      </c>
      <c r="F25" s="13" t="inlineStr">
        <is>
          <t>audio/likert/Vizhikkuttunai_seg0041-finetuned_20s.wav</t>
        </is>
      </c>
      <c r="G25" s="13" t="n">
        <v>6</v>
      </c>
      <c r="H25" s="13" t="n">
        <v>3</v>
      </c>
      <c r="I25" s="13" t="n">
        <v>4</v>
      </c>
      <c r="J25" s="13" t="n">
        <v>3</v>
      </c>
      <c r="K25" s="13" t="n"/>
      <c r="L25" s="13" t="inlineStr">
        <is>
          <t>Vocal</t>
        </is>
      </c>
      <c r="M25" s="13" t="inlineStr">
        <is>
          <t>test</t>
        </is>
      </c>
      <c r="N25" s="13" t="n"/>
    </row>
    <row r="26" ht="15.75" customHeight="1">
      <c r="A26" s="13" t="inlineStr">
        <is>
          <t>PA817AA9</t>
        </is>
      </c>
      <c r="B26" s="13">
        <f>VLOOKUP(A26,Table1[[#All],[Participant ID]:[Persona]],7,0)</f>
        <v/>
      </c>
      <c r="C26" s="15" t="inlineStr">
        <is>
          <t>2026-04-05T05:20:53</t>
        </is>
      </c>
      <c r="D26" s="13" t="inlineStr">
        <is>
          <t>L01</t>
        </is>
      </c>
      <c r="E26" s="13" t="inlineStr">
        <is>
          <t>Chakkani_Raja_seg0058-finetuned_20s</t>
        </is>
      </c>
      <c r="F26" s="13" t="inlineStr">
        <is>
          <t>audio/likert/Chakkani_Raja_seg0058-finetuned_20s.wav</t>
        </is>
      </c>
      <c r="G26" s="13" t="n">
        <v>1</v>
      </c>
      <c r="H26" s="13" t="n">
        <v>5</v>
      </c>
      <c r="I26" s="13" t="n">
        <v>5</v>
      </c>
      <c r="J26" s="13" t="n">
        <v>5</v>
      </c>
      <c r="K26" s="13" t="n"/>
      <c r="L26" s="13" t="inlineStr">
        <is>
          <t>Vocal</t>
        </is>
      </c>
      <c r="M26" s="13" t="inlineStr">
        <is>
          <t>test</t>
        </is>
      </c>
      <c r="N26" s="13" t="n"/>
    </row>
    <row r="27" ht="15.75" customHeight="1">
      <c r="A27" s="13" t="inlineStr">
        <is>
          <t>PA817AA9</t>
        </is>
      </c>
      <c r="B27" s="13">
        <f>VLOOKUP(A27,Table1[[#All],[Participant ID]:[Persona]],7,0)</f>
        <v/>
      </c>
      <c r="C27" s="15" t="inlineStr">
        <is>
          <t>2026-04-05T05:20:53</t>
        </is>
      </c>
      <c r="D27" s="13" t="inlineStr">
        <is>
          <t>L05</t>
        </is>
      </c>
      <c r="E27" s="13" t="inlineStr">
        <is>
          <t>Seshachala_Nayakam_seg0142-finetuned_20s</t>
        </is>
      </c>
      <c r="F27" s="13" t="inlineStr">
        <is>
          <t>audio/likert/Seshachala_Nayakam_seg0142-finetuned_20s.wav</t>
        </is>
      </c>
      <c r="G27" s="13" t="n">
        <v>2</v>
      </c>
      <c r="H27" s="13" t="n">
        <v>5</v>
      </c>
      <c r="I27" s="13" t="n">
        <v>5</v>
      </c>
      <c r="J27" s="13" t="n">
        <v>5</v>
      </c>
      <c r="K27" s="13" t="n"/>
      <c r="L27" s="13" t="inlineStr">
        <is>
          <t>Instrumental - Violin</t>
        </is>
      </c>
      <c r="M27" s="13" t="inlineStr">
        <is>
          <t>test</t>
        </is>
      </c>
      <c r="N27" s="13" t="n"/>
    </row>
    <row r="28" ht="15.75" customHeight="1">
      <c r="A28" s="13" t="inlineStr">
        <is>
          <t>PA817AA9</t>
        </is>
      </c>
      <c r="B28" s="13">
        <f>VLOOKUP(A28,Table1[[#All],[Participant ID]:[Persona]],7,0)</f>
        <v/>
      </c>
      <c r="C28" s="15" t="inlineStr">
        <is>
          <t>2026-04-05T05:20:53</t>
        </is>
      </c>
      <c r="D28" s="13" t="inlineStr">
        <is>
          <t>L04</t>
        </is>
      </c>
      <c r="E28" s="13" t="inlineStr">
        <is>
          <t>Ramanatham_Bhajeham_seg0195-finetuned_20s</t>
        </is>
      </c>
      <c r="F28" s="13" t="inlineStr">
        <is>
          <t>audio/likert/Ramanatham_Bhajeham_seg0195-finetuned_20s.wav</t>
        </is>
      </c>
      <c r="G28" s="13" t="n">
        <v>3</v>
      </c>
      <c r="H28" s="13" t="n">
        <v>5</v>
      </c>
      <c r="I28" s="13" t="n">
        <v>5</v>
      </c>
      <c r="J28" s="13" t="n">
        <v>5</v>
      </c>
      <c r="K28" s="13" t="n"/>
      <c r="L28" s="13" t="inlineStr">
        <is>
          <t>Instrumental - Percussion</t>
        </is>
      </c>
      <c r="M28" s="13" t="inlineStr">
        <is>
          <t>test</t>
        </is>
      </c>
      <c r="N28" s="13" t="n"/>
    </row>
    <row r="29" ht="15.75" customHeight="1">
      <c r="A29" s="13" t="inlineStr">
        <is>
          <t>PA817AA9</t>
        </is>
      </c>
      <c r="B29" s="13">
        <f>VLOOKUP(A29,Table1[[#All],[Participant ID]:[Persona]],7,0)</f>
        <v/>
      </c>
      <c r="C29" s="15" t="inlineStr">
        <is>
          <t>2026-04-05T05:20:53</t>
        </is>
      </c>
      <c r="D29" s="13" t="inlineStr">
        <is>
          <t>L03</t>
        </is>
      </c>
      <c r="E29" s="13" t="inlineStr">
        <is>
          <t>Nannupalimpa_seg0044-finetuned_20s</t>
        </is>
      </c>
      <c r="F29" s="13" t="inlineStr">
        <is>
          <t>audio/likert/Nannupalimpa_seg0044-finetuned_20s.wav</t>
        </is>
      </c>
      <c r="G29" s="13" t="n">
        <v>4</v>
      </c>
      <c r="H29" s="13" t="n">
        <v>5</v>
      </c>
      <c r="I29" s="13" t="n">
        <v>4</v>
      </c>
      <c r="J29" s="13" t="n">
        <v>5</v>
      </c>
      <c r="K29" s="13" t="n"/>
      <c r="L29" s="13" t="inlineStr">
        <is>
          <t>Vocal</t>
        </is>
      </c>
      <c r="M29" s="13" t="inlineStr">
        <is>
          <t>test</t>
        </is>
      </c>
      <c r="N29" s="13" t="n"/>
    </row>
    <row r="30" ht="15.75" customHeight="1">
      <c r="A30" s="13" t="inlineStr">
        <is>
          <t>PA817AA9</t>
        </is>
      </c>
      <c r="B30" s="13">
        <f>VLOOKUP(A30,Table1[[#All],[Participant ID]:[Persona]],7,0)</f>
        <v/>
      </c>
      <c r="C30" s="15" t="inlineStr">
        <is>
          <t>2026-04-05T05:20:53</t>
        </is>
      </c>
      <c r="D30" s="13" t="inlineStr">
        <is>
          <t>L02</t>
        </is>
      </c>
      <c r="E30" s="13" t="inlineStr">
        <is>
          <t>Chakkani_Raja_seg0200-finetuned_20s</t>
        </is>
      </c>
      <c r="F30" s="13" t="inlineStr">
        <is>
          <t>audio/likert/Chakkani_Raja_seg0200-finetuned_20s.wav</t>
        </is>
      </c>
      <c r="G30" s="13" t="n">
        <v>5</v>
      </c>
      <c r="H30" s="13" t="n">
        <v>5</v>
      </c>
      <c r="I30" s="13" t="n">
        <v>5</v>
      </c>
      <c r="J30" s="13" t="n">
        <v>5</v>
      </c>
      <c r="K30" s="13" t="n"/>
      <c r="L30" s="13" t="inlineStr">
        <is>
          <t>Instrumental - Violin</t>
        </is>
      </c>
      <c r="M30" s="13" t="inlineStr">
        <is>
          <t>test</t>
        </is>
      </c>
      <c r="N30" s="13" t="n"/>
    </row>
    <row r="31" ht="15.75" customHeight="1">
      <c r="A31" s="13" t="inlineStr">
        <is>
          <t>PA817AA9</t>
        </is>
      </c>
      <c r="B31" s="13">
        <f>VLOOKUP(A31,Table1[[#All],[Participant ID]:[Persona]],7,0)</f>
        <v/>
      </c>
      <c r="C31" s="15" t="inlineStr">
        <is>
          <t>2026-04-05T05:20:53</t>
        </is>
      </c>
      <c r="D31" s="13" t="inlineStr">
        <is>
          <t>L06</t>
        </is>
      </c>
      <c r="E31" s="13" t="inlineStr">
        <is>
          <t>Vizhikkuttunai_seg0041-finetuned_20s</t>
        </is>
      </c>
      <c r="F31" s="13" t="inlineStr">
        <is>
          <t>audio/likert/Vizhikkuttunai_seg0041-finetuned_20s.wav</t>
        </is>
      </c>
      <c r="G31" s="13" t="n">
        <v>6</v>
      </c>
      <c r="H31" s="13" t="n">
        <v>5</v>
      </c>
      <c r="I31" s="13" t="n">
        <v>5</v>
      </c>
      <c r="J31" s="13" t="n">
        <v>5</v>
      </c>
      <c r="K31" s="13" t="n"/>
      <c r="L31" s="13" t="inlineStr">
        <is>
          <t>Vocal</t>
        </is>
      </c>
      <c r="M31" s="13" t="inlineStr">
        <is>
          <t>test</t>
        </is>
      </c>
      <c r="N31" s="13" t="n"/>
    </row>
    <row r="32" ht="15.75" customHeight="1">
      <c r="A32" s="13" t="inlineStr">
        <is>
          <t>PAC716A3</t>
        </is>
      </c>
      <c r="B32" s="13">
        <f>VLOOKUP(A32,Table1[[#All],[Participant ID]:[Persona]],7,0)</f>
        <v/>
      </c>
      <c r="C32" s="15" t="inlineStr">
        <is>
          <t>2026-04-05T07:17:09</t>
        </is>
      </c>
      <c r="D32" s="13" t="inlineStr">
        <is>
          <t>L03</t>
        </is>
      </c>
      <c r="E32" s="13" t="inlineStr">
        <is>
          <t>Nannupalimpa_seg0044-finetuned_20s</t>
        </is>
      </c>
      <c r="F32" s="13" t="inlineStr">
        <is>
          <t>audio/likert/Nannupalimpa_seg0044-finetuned_20s.wav</t>
        </is>
      </c>
      <c r="G32" s="13" t="n">
        <v>1</v>
      </c>
      <c r="H32" s="13" t="n">
        <v>4</v>
      </c>
      <c r="I32" s="13" t="n">
        <v>4</v>
      </c>
      <c r="J32" s="13" t="n">
        <v>3</v>
      </c>
      <c r="K32" s="13" t="n"/>
      <c r="L32" s="13" t="inlineStr">
        <is>
          <t>Vocal</t>
        </is>
      </c>
      <c r="M32" s="13" t="inlineStr">
        <is>
          <t>test</t>
        </is>
      </c>
      <c r="N32" s="13" t="n"/>
    </row>
    <row r="33" ht="15.75" customHeight="1">
      <c r="A33" s="13" t="inlineStr">
        <is>
          <t>PAC716A3</t>
        </is>
      </c>
      <c r="B33" s="13">
        <f>VLOOKUP(A33,Table1[[#All],[Participant ID]:[Persona]],7,0)</f>
        <v/>
      </c>
      <c r="C33" s="15" t="inlineStr">
        <is>
          <t>2026-04-05T07:17:09</t>
        </is>
      </c>
      <c r="D33" s="13" t="inlineStr">
        <is>
          <t>L06</t>
        </is>
      </c>
      <c r="E33" s="13" t="inlineStr">
        <is>
          <t>Vizhikkuttunai_seg0041-finetuned_20s</t>
        </is>
      </c>
      <c r="F33" s="13" t="inlineStr">
        <is>
          <t>audio/likert/Vizhikkuttunai_seg0041-finetuned_20s.wav</t>
        </is>
      </c>
      <c r="G33" s="13" t="n">
        <v>2</v>
      </c>
      <c r="H33" s="13" t="n">
        <v>4</v>
      </c>
      <c r="I33" s="13" t="n">
        <v>4</v>
      </c>
      <c r="J33" s="13" t="n">
        <v>4</v>
      </c>
      <c r="K33" s="13" t="n"/>
      <c r="L33" s="13" t="inlineStr">
        <is>
          <t>Vocal</t>
        </is>
      </c>
      <c r="M33" s="13" t="inlineStr">
        <is>
          <t>test</t>
        </is>
      </c>
      <c r="N33" s="13" t="n"/>
    </row>
    <row r="34" ht="15.75" customHeight="1">
      <c r="A34" s="13" t="inlineStr">
        <is>
          <t>PAC716A3</t>
        </is>
      </c>
      <c r="B34" s="13">
        <f>VLOOKUP(A34,Table1[[#All],[Participant ID]:[Persona]],7,0)</f>
        <v/>
      </c>
      <c r="C34" s="15" t="inlineStr">
        <is>
          <t>2026-04-05T07:17:09</t>
        </is>
      </c>
      <c r="D34" s="13" t="inlineStr">
        <is>
          <t>L05</t>
        </is>
      </c>
      <c r="E34" s="13" t="inlineStr">
        <is>
          <t>Seshachala_Nayakam_seg0142-finetuned_20s</t>
        </is>
      </c>
      <c r="F34" s="13" t="inlineStr">
        <is>
          <t>audio/likert/Seshachala_Nayakam_seg0142-finetuned_20s.wav</t>
        </is>
      </c>
      <c r="G34" s="13" t="n">
        <v>3</v>
      </c>
      <c r="H34" s="13" t="n">
        <v>3</v>
      </c>
      <c r="I34" s="13" t="n">
        <v>3</v>
      </c>
      <c r="J34" s="13" t="n">
        <v>3</v>
      </c>
      <c r="K34" s="13" t="n"/>
      <c r="L34" s="13" t="inlineStr">
        <is>
          <t>Instrumental - Violin</t>
        </is>
      </c>
      <c r="M34" s="13" t="inlineStr">
        <is>
          <t>test</t>
        </is>
      </c>
      <c r="N34" s="13" t="n"/>
    </row>
    <row r="35" ht="15.75" customHeight="1">
      <c r="A35" s="13" t="inlineStr">
        <is>
          <t>PAC716A3</t>
        </is>
      </c>
      <c r="B35" s="13">
        <f>VLOOKUP(A35,Table1[[#All],[Participant ID]:[Persona]],7,0)</f>
        <v/>
      </c>
      <c r="C35" s="15" t="inlineStr">
        <is>
          <t>2026-04-05T07:17:09</t>
        </is>
      </c>
      <c r="D35" s="13" t="inlineStr">
        <is>
          <t>L02</t>
        </is>
      </c>
      <c r="E35" s="13" t="inlineStr">
        <is>
          <t>Chakkani_Raja_seg0200-finetuned_20s</t>
        </is>
      </c>
      <c r="F35" s="13" t="inlineStr">
        <is>
          <t>audio/likert/Chakkani_Raja_seg0200-finetuned_20s.wav</t>
        </is>
      </c>
      <c r="G35" s="13" t="n">
        <v>4</v>
      </c>
      <c r="H35" s="13" t="n">
        <v>4</v>
      </c>
      <c r="I35" s="13" t="n">
        <v>3</v>
      </c>
      <c r="J35" s="13" t="n">
        <v>4</v>
      </c>
      <c r="K35" s="13" t="n"/>
      <c r="L35" s="13" t="inlineStr">
        <is>
          <t>Instrumental - Violin</t>
        </is>
      </c>
      <c r="M35" s="13" t="inlineStr">
        <is>
          <t>test</t>
        </is>
      </c>
      <c r="N35" s="13" t="n"/>
    </row>
    <row r="36" ht="15.75" customHeight="1">
      <c r="A36" s="13" t="inlineStr">
        <is>
          <t>PAC716A3</t>
        </is>
      </c>
      <c r="B36" s="13">
        <f>VLOOKUP(A36,Table1[[#All],[Participant ID]:[Persona]],7,0)</f>
        <v/>
      </c>
      <c r="C36" s="15" t="inlineStr">
        <is>
          <t>2026-04-05T07:17:09</t>
        </is>
      </c>
      <c r="D36" s="13" t="inlineStr">
        <is>
          <t>L01</t>
        </is>
      </c>
      <c r="E36" s="13" t="inlineStr">
        <is>
          <t>Chakkani_Raja_seg0058-finetuned_20s</t>
        </is>
      </c>
      <c r="F36" s="13" t="inlineStr">
        <is>
          <t>audio/likert/Chakkani_Raja_seg0058-finetuned_20s.wav</t>
        </is>
      </c>
      <c r="G36" s="13" t="n">
        <v>5</v>
      </c>
      <c r="H36" s="13" t="n">
        <v>3</v>
      </c>
      <c r="I36" s="13" t="n">
        <v>4</v>
      </c>
      <c r="J36" s="13" t="n">
        <v>3</v>
      </c>
      <c r="K36" s="13" t="n"/>
      <c r="L36" s="13" t="inlineStr">
        <is>
          <t>Vocal</t>
        </is>
      </c>
      <c r="M36" s="13" t="inlineStr">
        <is>
          <t>test</t>
        </is>
      </c>
      <c r="N36" s="13" t="n"/>
    </row>
    <row r="37" ht="15.75" customHeight="1">
      <c r="A37" s="13" t="inlineStr">
        <is>
          <t>PAC716A3</t>
        </is>
      </c>
      <c r="B37" s="13">
        <f>VLOOKUP(A37,Table1[[#All],[Participant ID]:[Persona]],7,0)</f>
        <v/>
      </c>
      <c r="C37" s="15" t="inlineStr">
        <is>
          <t>2026-04-05T07:17:09</t>
        </is>
      </c>
      <c r="D37" s="13" t="inlineStr">
        <is>
          <t>L04</t>
        </is>
      </c>
      <c r="E37" s="13" t="inlineStr">
        <is>
          <t>Ramanatham_Bhajeham_seg0195-finetuned_20s</t>
        </is>
      </c>
      <c r="F37" s="13" t="inlineStr">
        <is>
          <t>audio/likert/Ramanatham_Bhajeham_seg0195-finetuned_20s.wav</t>
        </is>
      </c>
      <c r="G37" s="13" t="n">
        <v>6</v>
      </c>
      <c r="H37" s="13" t="n">
        <v>5</v>
      </c>
      <c r="I37" s="13" t="n">
        <v>4</v>
      </c>
      <c r="J37" s="13" t="n">
        <v>5</v>
      </c>
      <c r="K37" s="13" t="n"/>
      <c r="L37" s="13" t="inlineStr">
        <is>
          <t>Instrumental - Percussion</t>
        </is>
      </c>
      <c r="M37" s="13" t="inlineStr">
        <is>
          <t>test</t>
        </is>
      </c>
      <c r="N37" s="13" t="n"/>
    </row>
    <row r="38" ht="15.75" customHeight="1">
      <c r="A38" s="13" t="inlineStr">
        <is>
          <t>PA7FA43A</t>
        </is>
      </c>
      <c r="B38" s="13">
        <f>VLOOKUP(A38,Table1[[#All],[Participant ID]:[Persona]],7,0)</f>
        <v/>
      </c>
      <c r="C38" s="15" t="inlineStr">
        <is>
          <t>2026-04-05T14:32:04</t>
        </is>
      </c>
      <c r="D38" s="13" t="inlineStr">
        <is>
          <t>L05</t>
        </is>
      </c>
      <c r="E38" s="13" t="inlineStr">
        <is>
          <t>Seshachala_Nayakam_seg0142-finetuned_20s</t>
        </is>
      </c>
      <c r="F38" s="13" t="inlineStr">
        <is>
          <t>audio/likert/Seshachala_Nayakam_seg0142-finetuned_20s.wav</t>
        </is>
      </c>
      <c r="G38" s="13" t="n">
        <v>1</v>
      </c>
      <c r="H38" s="13" t="n">
        <v>2</v>
      </c>
      <c r="I38" s="13" t="n">
        <v>1</v>
      </c>
      <c r="J38" s="13" t="n">
        <v>1</v>
      </c>
      <c r="K38" s="13" t="n"/>
      <c r="L38" s="13" t="inlineStr">
        <is>
          <t>Instrumental - Violin</t>
        </is>
      </c>
      <c r="M38" s="13" t="inlineStr">
        <is>
          <t>test</t>
        </is>
      </c>
      <c r="N38" s="13" t="n"/>
    </row>
    <row r="39" ht="15.75" customHeight="1">
      <c r="A39" s="13" t="inlineStr">
        <is>
          <t>PA7FA43A</t>
        </is>
      </c>
      <c r="B39" s="13">
        <f>VLOOKUP(A39,Table1[[#All],[Participant ID]:[Persona]],7,0)</f>
        <v/>
      </c>
      <c r="C39" s="15" t="inlineStr">
        <is>
          <t>2026-04-05T14:32:04</t>
        </is>
      </c>
      <c r="D39" s="13" t="inlineStr">
        <is>
          <t>L03</t>
        </is>
      </c>
      <c r="E39" s="13" t="inlineStr">
        <is>
          <t>Nannupalimpa_seg0044-finetuned_20s</t>
        </is>
      </c>
      <c r="F39" s="13" t="inlineStr">
        <is>
          <t>audio/likert/Nannupalimpa_seg0044-finetuned_20s.wav</t>
        </is>
      </c>
      <c r="G39" s="13" t="n">
        <v>2</v>
      </c>
      <c r="H39" s="13" t="n">
        <v>2</v>
      </c>
      <c r="I39" s="13" t="n">
        <v>1</v>
      </c>
      <c r="J39" s="13" t="n">
        <v>1</v>
      </c>
      <c r="K39" s="13" t="n"/>
      <c r="L39" s="13" t="inlineStr">
        <is>
          <t>Vocal</t>
        </is>
      </c>
      <c r="M39" s="13" t="inlineStr">
        <is>
          <t>test</t>
        </is>
      </c>
      <c r="N39" s="13" t="n"/>
    </row>
    <row r="40" ht="15.75" customHeight="1">
      <c r="A40" s="13" t="inlineStr">
        <is>
          <t>PA7FA43A</t>
        </is>
      </c>
      <c r="B40" s="13">
        <f>VLOOKUP(A40,Table1[[#All],[Participant ID]:[Persona]],7,0)</f>
        <v/>
      </c>
      <c r="C40" s="15" t="inlineStr">
        <is>
          <t>2026-04-05T14:32:04</t>
        </is>
      </c>
      <c r="D40" s="13" t="inlineStr">
        <is>
          <t>L02</t>
        </is>
      </c>
      <c r="E40" s="13" t="inlineStr">
        <is>
          <t>Chakkani_Raja_seg0200-finetuned_20s</t>
        </is>
      </c>
      <c r="F40" s="13" t="inlineStr">
        <is>
          <t>audio/likert/Chakkani_Raja_seg0200-finetuned_20s.wav</t>
        </is>
      </c>
      <c r="G40" s="13" t="n">
        <v>3</v>
      </c>
      <c r="H40" s="13" t="n">
        <v>1</v>
      </c>
      <c r="I40" s="13" t="n">
        <v>1</v>
      </c>
      <c r="J40" s="13" t="n">
        <v>1</v>
      </c>
      <c r="K40" s="13" t="n"/>
      <c r="L40" s="13" t="inlineStr">
        <is>
          <t>Instrumental - Violin</t>
        </is>
      </c>
      <c r="M40" s="13" t="inlineStr">
        <is>
          <t>test</t>
        </is>
      </c>
      <c r="N40" s="13" t="n"/>
    </row>
    <row r="41" ht="15.75" customHeight="1">
      <c r="A41" s="13" t="inlineStr">
        <is>
          <t>PA7FA43A</t>
        </is>
      </c>
      <c r="B41" s="13">
        <f>VLOOKUP(A41,Table1[[#All],[Participant ID]:[Persona]],7,0)</f>
        <v/>
      </c>
      <c r="C41" s="15" t="inlineStr">
        <is>
          <t>2026-04-05T14:32:04</t>
        </is>
      </c>
      <c r="D41" s="13" t="inlineStr">
        <is>
          <t>L01</t>
        </is>
      </c>
      <c r="E41" s="13" t="inlineStr">
        <is>
          <t>Chakkani_Raja_seg0058-finetuned_20s</t>
        </is>
      </c>
      <c r="F41" s="13" t="inlineStr">
        <is>
          <t>audio/likert/Chakkani_Raja_seg0058-finetuned_20s.wav</t>
        </is>
      </c>
      <c r="G41" s="13" t="n">
        <v>4</v>
      </c>
      <c r="H41" s="13" t="n">
        <v>4</v>
      </c>
      <c r="I41" s="13" t="n">
        <v>4</v>
      </c>
      <c r="J41" s="13" t="n">
        <v>3</v>
      </c>
      <c r="K41" s="13" t="n"/>
      <c r="L41" s="13" t="inlineStr">
        <is>
          <t>Vocal</t>
        </is>
      </c>
      <c r="M41" s="13" t="inlineStr">
        <is>
          <t>test</t>
        </is>
      </c>
      <c r="N41" s="13" t="n"/>
    </row>
    <row r="42" ht="15.75" customHeight="1">
      <c r="A42" s="13" t="inlineStr">
        <is>
          <t>PA7FA43A</t>
        </is>
      </c>
      <c r="B42" s="13">
        <f>VLOOKUP(A42,Table1[[#All],[Participant ID]:[Persona]],7,0)</f>
        <v/>
      </c>
      <c r="C42" s="15" t="inlineStr">
        <is>
          <t>2026-04-05T14:32:04</t>
        </is>
      </c>
      <c r="D42" s="13" t="inlineStr">
        <is>
          <t>L06</t>
        </is>
      </c>
      <c r="E42" s="13" t="inlineStr">
        <is>
          <t>Vizhikkuttunai_seg0041-finetuned_20s</t>
        </is>
      </c>
      <c r="F42" s="13" t="inlineStr">
        <is>
          <t>audio/likert/Vizhikkuttunai_seg0041-finetuned_20s.wav</t>
        </is>
      </c>
      <c r="G42" s="13" t="n">
        <v>5</v>
      </c>
      <c r="H42" s="13" t="n">
        <v>2</v>
      </c>
      <c r="I42" s="13" t="n">
        <v>1</v>
      </c>
      <c r="J42" s="13" t="n">
        <v>2</v>
      </c>
      <c r="K42" s="13" t="n"/>
      <c r="L42" s="13" t="inlineStr">
        <is>
          <t>Vocal</t>
        </is>
      </c>
      <c r="M42" s="13" t="inlineStr">
        <is>
          <t>test</t>
        </is>
      </c>
      <c r="N42" s="13" t="n"/>
    </row>
    <row r="43" ht="15.75" customHeight="1">
      <c r="A43" s="13" t="inlineStr">
        <is>
          <t>PA7FA43A</t>
        </is>
      </c>
      <c r="B43" s="13">
        <f>VLOOKUP(A43,Table1[[#All],[Participant ID]:[Persona]],7,0)</f>
        <v/>
      </c>
      <c r="C43" s="15" t="inlineStr">
        <is>
          <t>2026-04-05T14:32:04</t>
        </is>
      </c>
      <c r="D43" s="13" t="inlineStr">
        <is>
          <t>L04</t>
        </is>
      </c>
      <c r="E43" s="13" t="inlineStr">
        <is>
          <t>Ramanatham_Bhajeham_seg0195-finetuned_20s</t>
        </is>
      </c>
      <c r="F43" s="13" t="inlineStr">
        <is>
          <t>audio/likert/Ramanatham_Bhajeham_seg0195-finetuned_20s.wav</t>
        </is>
      </c>
      <c r="G43" s="13" t="n">
        <v>6</v>
      </c>
      <c r="H43" s="13" t="n">
        <v>4</v>
      </c>
      <c r="I43" s="13" t="n">
        <v>4</v>
      </c>
      <c r="J43" s="13" t="n">
        <v>4</v>
      </c>
      <c r="K43" s="13" t="n"/>
      <c r="L43" s="13" t="inlineStr">
        <is>
          <t>Instrumental - Percussion</t>
        </is>
      </c>
      <c r="M43" s="13" t="inlineStr">
        <is>
          <t>test</t>
        </is>
      </c>
      <c r="N43" s="13" t="n"/>
    </row>
    <row r="44" ht="15.75" customHeight="1">
      <c r="A44" s="13" t="inlineStr">
        <is>
          <t>PAFA3928</t>
        </is>
      </c>
      <c r="B44" s="13">
        <f>VLOOKUP(A44,Table1[[#All],[Participant ID]:[Persona]],7,0)</f>
        <v/>
      </c>
      <c r="C44" s="15" t="inlineStr">
        <is>
          <t>2026-04-05T15:02:06</t>
        </is>
      </c>
      <c r="D44" s="13" t="inlineStr">
        <is>
          <t>L04</t>
        </is>
      </c>
      <c r="E44" s="13" t="inlineStr">
        <is>
          <t>Ramanatham_Bhajeham_seg0195-finetuned_20s</t>
        </is>
      </c>
      <c r="F44" s="13" t="inlineStr">
        <is>
          <t>audio/likert/Ramanatham_Bhajeham_seg0195-finetuned_20s.wav</t>
        </is>
      </c>
      <c r="G44" s="13" t="n">
        <v>1</v>
      </c>
      <c r="H44" s="13" t="n">
        <v>4</v>
      </c>
      <c r="I44" s="13" t="n">
        <v>4</v>
      </c>
      <c r="J44" s="13" t="n">
        <v>5</v>
      </c>
      <c r="K44" s="13" t="n"/>
      <c r="L44" s="13" t="inlineStr">
        <is>
          <t>Instrumental - Percussion</t>
        </is>
      </c>
      <c r="M44" s="13" t="inlineStr">
        <is>
          <t>test</t>
        </is>
      </c>
      <c r="N44" s="13" t="n"/>
    </row>
    <row r="45" ht="15.75" customHeight="1">
      <c r="A45" s="13" t="inlineStr">
        <is>
          <t>PAFA3928</t>
        </is>
      </c>
      <c r="B45" s="13">
        <f>VLOOKUP(A45,Table1[[#All],[Participant ID]:[Persona]],7,0)</f>
        <v/>
      </c>
      <c r="C45" s="15" t="inlineStr">
        <is>
          <t>2026-04-05T15:02:06</t>
        </is>
      </c>
      <c r="D45" s="13" t="inlineStr">
        <is>
          <t>L03</t>
        </is>
      </c>
      <c r="E45" s="13" t="inlineStr">
        <is>
          <t>Nannupalimpa_seg0044-finetuned_20s</t>
        </is>
      </c>
      <c r="F45" s="13" t="inlineStr">
        <is>
          <t>audio/likert/Nannupalimpa_seg0044-finetuned_20s.wav</t>
        </is>
      </c>
      <c r="G45" s="13" t="n">
        <v>2</v>
      </c>
      <c r="H45" s="13" t="n">
        <v>2</v>
      </c>
      <c r="I45" s="13" t="n">
        <v>1</v>
      </c>
      <c r="J45" s="13" t="n">
        <v>2</v>
      </c>
      <c r="K45" s="13" t="inlineStr">
        <is>
          <t>Ai tune doesn’t suit this note</t>
        </is>
      </c>
      <c r="L45" s="13" t="inlineStr">
        <is>
          <t>Vocal</t>
        </is>
      </c>
      <c r="M45" s="13" t="inlineStr">
        <is>
          <t>test</t>
        </is>
      </c>
      <c r="N45" s="13" t="n"/>
    </row>
    <row r="46" ht="15.75" customHeight="1">
      <c r="A46" s="13" t="inlineStr">
        <is>
          <t>PAFA3928</t>
        </is>
      </c>
      <c r="B46" s="13">
        <f>VLOOKUP(A46,Table1[[#All],[Participant ID]:[Persona]],7,0)</f>
        <v/>
      </c>
      <c r="C46" s="15" t="inlineStr">
        <is>
          <t>2026-04-05T15:02:06</t>
        </is>
      </c>
      <c r="D46" s="13" t="inlineStr">
        <is>
          <t>L01</t>
        </is>
      </c>
      <c r="E46" s="13" t="inlineStr">
        <is>
          <t>Chakkani_Raja_seg0058-finetuned_20s</t>
        </is>
      </c>
      <c r="F46" s="13" t="inlineStr">
        <is>
          <t>audio/likert/Chakkani_Raja_seg0058-finetuned_20s.wav</t>
        </is>
      </c>
      <c r="G46" s="13" t="n">
        <v>3</v>
      </c>
      <c r="H46" s="13" t="n">
        <v>3</v>
      </c>
      <c r="I46" s="13" t="n">
        <v>3</v>
      </c>
      <c r="J46" s="13" t="n">
        <v>2</v>
      </c>
      <c r="K46" s="13" t="n"/>
      <c r="L46" s="13" t="inlineStr">
        <is>
          <t>Vocal</t>
        </is>
      </c>
      <c r="M46" s="13" t="inlineStr">
        <is>
          <t>test</t>
        </is>
      </c>
      <c r="N46" s="13" t="n"/>
    </row>
    <row r="47" ht="15.75" customHeight="1">
      <c r="A47" s="13" t="inlineStr">
        <is>
          <t>PAFA3928</t>
        </is>
      </c>
      <c r="B47" s="13">
        <f>VLOOKUP(A47,Table1[[#All],[Participant ID]:[Persona]],7,0)</f>
        <v/>
      </c>
      <c r="C47" s="15" t="inlineStr">
        <is>
          <t>2026-04-05T15:02:06</t>
        </is>
      </c>
      <c r="D47" s="13" t="inlineStr">
        <is>
          <t>L06</t>
        </is>
      </c>
      <c r="E47" s="13" t="inlineStr">
        <is>
          <t>Vizhikkuttunai_seg0041-finetuned_20s</t>
        </is>
      </c>
      <c r="F47" s="13" t="inlineStr">
        <is>
          <t>audio/likert/Vizhikkuttunai_seg0041-finetuned_20s.wav</t>
        </is>
      </c>
      <c r="G47" s="13" t="n">
        <v>4</v>
      </c>
      <c r="H47" s="13" t="n">
        <v>5</v>
      </c>
      <c r="I47" s="13" t="n">
        <v>2</v>
      </c>
      <c r="J47" s="13" t="n">
        <v>5</v>
      </c>
      <c r="K47" s="13" t="inlineStr">
        <is>
          <t>This is more good in original Carnatic</t>
        </is>
      </c>
      <c r="L47" s="13" t="inlineStr">
        <is>
          <t>Vocal</t>
        </is>
      </c>
      <c r="M47" s="13" t="inlineStr">
        <is>
          <t>test</t>
        </is>
      </c>
      <c r="N47" s="13" t="n"/>
    </row>
    <row r="48" ht="15.75" customHeight="1">
      <c r="A48" s="13" t="inlineStr">
        <is>
          <t>PAFA3928</t>
        </is>
      </c>
      <c r="B48" s="13">
        <f>VLOOKUP(A48,Table1[[#All],[Participant ID]:[Persona]],7,0)</f>
        <v/>
      </c>
      <c r="C48" s="15" t="inlineStr">
        <is>
          <t>2026-04-05T15:02:06</t>
        </is>
      </c>
      <c r="D48" s="13" t="inlineStr">
        <is>
          <t>L02</t>
        </is>
      </c>
      <c r="E48" s="13" t="inlineStr">
        <is>
          <t>Chakkani_Raja_seg0200-finetuned_20s</t>
        </is>
      </c>
      <c r="F48" s="13" t="inlineStr">
        <is>
          <t>audio/likert/Chakkani_Raja_seg0200-finetuned_20s.wav</t>
        </is>
      </c>
      <c r="G48" s="13" t="n">
        <v>5</v>
      </c>
      <c r="H48" s="13" t="n">
        <v>3</v>
      </c>
      <c r="I48" s="13" t="n">
        <v>2</v>
      </c>
      <c r="J48" s="13" t="n">
        <v>5</v>
      </c>
      <c r="K48" s="13" t="n"/>
      <c r="L48" s="13" t="inlineStr">
        <is>
          <t>Instrumental - Violin</t>
        </is>
      </c>
      <c r="M48" s="13" t="inlineStr">
        <is>
          <t>test</t>
        </is>
      </c>
      <c r="N48" s="13" t="n"/>
    </row>
    <row r="49" ht="15.75" customHeight="1">
      <c r="A49" s="13" t="inlineStr">
        <is>
          <t>PAFA3928</t>
        </is>
      </c>
      <c r="B49" s="13">
        <f>VLOOKUP(A49,Table1[[#All],[Participant ID]:[Persona]],7,0)</f>
        <v/>
      </c>
      <c r="C49" s="15" t="inlineStr">
        <is>
          <t>2026-04-05T15:02:06</t>
        </is>
      </c>
      <c r="D49" s="13" t="inlineStr">
        <is>
          <t>L05</t>
        </is>
      </c>
      <c r="E49" s="13" t="inlineStr">
        <is>
          <t>Seshachala_Nayakam_seg0142-finetuned_20s</t>
        </is>
      </c>
      <c r="F49" s="13" t="inlineStr">
        <is>
          <t>audio/likert/Seshachala_Nayakam_seg0142-finetuned_20s.wav</t>
        </is>
      </c>
      <c r="G49" s="13" t="n">
        <v>6</v>
      </c>
      <c r="H49" s="13" t="n">
        <v>3</v>
      </c>
      <c r="I49" s="13" t="n">
        <v>3</v>
      </c>
      <c r="J49" s="13" t="n">
        <v>5</v>
      </c>
      <c r="K49" s="13" t="inlineStr">
        <is>
          <t>Nil</t>
        </is>
      </c>
      <c r="L49" s="13" t="inlineStr">
        <is>
          <t>Instrumental - Violin</t>
        </is>
      </c>
      <c r="M49" s="13" t="inlineStr">
        <is>
          <t>test</t>
        </is>
      </c>
      <c r="N49" s="13" t="n"/>
    </row>
    <row r="50" ht="15.75" customHeight="1">
      <c r="A50" s="13" t="inlineStr">
        <is>
          <t>PAFF06B5</t>
        </is>
      </c>
      <c r="B50" s="13">
        <f>VLOOKUP(A50,Table1[[#All],[Participant ID]:[Persona]],7,0)</f>
        <v/>
      </c>
      <c r="C50" s="15" t="inlineStr">
        <is>
          <t>2026-04-05T16:45:34</t>
        </is>
      </c>
      <c r="D50" s="13" t="inlineStr">
        <is>
          <t>L02</t>
        </is>
      </c>
      <c r="E50" s="13" t="inlineStr">
        <is>
          <t>Chakkani_Raja_seg0200-finetuned_20s</t>
        </is>
      </c>
      <c r="F50" s="13" t="inlineStr">
        <is>
          <t>audio/likert/Chakkani_Raja_seg0200-finetuned_20s.wav</t>
        </is>
      </c>
      <c r="G50" s="13" t="n">
        <v>1</v>
      </c>
      <c r="H50" s="13" t="n">
        <v>3</v>
      </c>
      <c r="I50" s="13" t="n">
        <v>4</v>
      </c>
      <c r="J50" s="13" t="n">
        <v>4</v>
      </c>
      <c r="K50" s="13" t="n"/>
      <c r="L50" s="13" t="inlineStr">
        <is>
          <t>Instrumental - Violin</t>
        </is>
      </c>
      <c r="M50" s="13" t="inlineStr">
        <is>
          <t>test</t>
        </is>
      </c>
      <c r="N50" s="13" t="n"/>
    </row>
    <row r="51" ht="15.75" customHeight="1">
      <c r="A51" s="13" t="inlineStr">
        <is>
          <t>PAFF06B5</t>
        </is>
      </c>
      <c r="B51" s="13">
        <f>VLOOKUP(A51,Table1[[#All],[Participant ID]:[Persona]],7,0)</f>
        <v/>
      </c>
      <c r="C51" s="15" t="inlineStr">
        <is>
          <t>2026-04-05T16:45:34</t>
        </is>
      </c>
      <c r="D51" s="13" t="inlineStr">
        <is>
          <t>L04</t>
        </is>
      </c>
      <c r="E51" s="13" t="inlineStr">
        <is>
          <t>Ramanatham_Bhajeham_seg0195-finetuned_20s</t>
        </is>
      </c>
      <c r="F51" s="13" t="inlineStr">
        <is>
          <t>audio/likert/Ramanatham_Bhajeham_seg0195-finetuned_20s.wav</t>
        </is>
      </c>
      <c r="G51" s="13" t="n">
        <v>2</v>
      </c>
      <c r="H51" s="13" t="n">
        <v>4</v>
      </c>
      <c r="I51" s="13" t="n">
        <v>5</v>
      </c>
      <c r="J51" s="13" t="n">
        <v>5</v>
      </c>
      <c r="K51" s="13" t="inlineStr">
        <is>
          <t xml:space="preserve">Can’t get any difference with original. It’s  really super </t>
        </is>
      </c>
      <c r="L51" s="13" t="inlineStr">
        <is>
          <t>Instrumental - Percussion</t>
        </is>
      </c>
      <c r="M51" s="13" t="inlineStr">
        <is>
          <t>test</t>
        </is>
      </c>
      <c r="N51" s="13" t="n"/>
    </row>
    <row r="52" ht="15.75" customHeight="1">
      <c r="A52" s="13" t="inlineStr">
        <is>
          <t>PAFF06B5</t>
        </is>
      </c>
      <c r="B52" s="13">
        <f>VLOOKUP(A52,Table1[[#All],[Participant ID]:[Persona]],7,0)</f>
        <v/>
      </c>
      <c r="C52" s="15" t="inlineStr">
        <is>
          <t>2026-04-05T16:45:34</t>
        </is>
      </c>
      <c r="D52" s="13" t="inlineStr">
        <is>
          <t>L05</t>
        </is>
      </c>
      <c r="E52" s="13" t="inlineStr">
        <is>
          <t>Seshachala_Nayakam_seg0142-finetuned_20s</t>
        </is>
      </c>
      <c r="F52" s="13" t="inlineStr">
        <is>
          <t>audio/likert/Seshachala_Nayakam_seg0142-finetuned_20s.wav</t>
        </is>
      </c>
      <c r="G52" s="13" t="n">
        <v>3</v>
      </c>
      <c r="H52" s="13" t="n">
        <v>3</v>
      </c>
      <c r="I52" s="13" t="n">
        <v>4</v>
      </c>
      <c r="J52" s="13" t="n">
        <v>4</v>
      </c>
      <c r="K52" s="13" t="inlineStr">
        <is>
          <t>I find difference vocal quality with original sound</t>
        </is>
      </c>
      <c r="L52" s="13" t="inlineStr">
        <is>
          <t>Instrumental - Violin</t>
        </is>
      </c>
      <c r="M52" s="13" t="inlineStr">
        <is>
          <t>test</t>
        </is>
      </c>
      <c r="N52" s="13" t="n"/>
    </row>
    <row r="53" ht="15.75" customHeight="1">
      <c r="A53" s="13" t="inlineStr">
        <is>
          <t>PAFF06B5</t>
        </is>
      </c>
      <c r="B53" s="13">
        <f>VLOOKUP(A53,Table1[[#All],[Participant ID]:[Persona]],7,0)</f>
        <v/>
      </c>
      <c r="C53" s="15" t="inlineStr">
        <is>
          <t>2026-04-05T16:45:34</t>
        </is>
      </c>
      <c r="D53" s="13" t="inlineStr">
        <is>
          <t>L03</t>
        </is>
      </c>
      <c r="E53" s="13" t="inlineStr">
        <is>
          <t>Nannupalimpa_seg0044-finetuned_20s</t>
        </is>
      </c>
      <c r="F53" s="13" t="inlineStr">
        <is>
          <t>audio/likert/Nannupalimpa_seg0044-finetuned_20s.wav</t>
        </is>
      </c>
      <c r="G53" s="13" t="n">
        <v>4</v>
      </c>
      <c r="H53" s="13" t="n">
        <v>4</v>
      </c>
      <c r="I53" s="13" t="n">
        <v>4</v>
      </c>
      <c r="J53" s="13" t="n">
        <v>4</v>
      </c>
      <c r="K53" s="13" t="n"/>
      <c r="L53" s="13" t="inlineStr">
        <is>
          <t>Vocal</t>
        </is>
      </c>
      <c r="M53" s="13" t="inlineStr">
        <is>
          <t>test</t>
        </is>
      </c>
      <c r="N53" s="13" t="n"/>
    </row>
    <row r="54" ht="15" customHeight="1">
      <c r="A54" s="13" t="inlineStr">
        <is>
          <t>PAFF06B5</t>
        </is>
      </c>
      <c r="B54" s="13">
        <f>VLOOKUP(A54,Table1[[#All],[Participant ID]:[Persona]],7,0)</f>
        <v/>
      </c>
      <c r="C54" s="15" t="inlineStr">
        <is>
          <t>2026-04-05T16:45:34</t>
        </is>
      </c>
      <c r="D54" s="13" t="inlineStr">
        <is>
          <t>L06</t>
        </is>
      </c>
      <c r="E54" s="13" t="inlineStr">
        <is>
          <t>Vizhikkuttunai_seg0041-finetuned_20s</t>
        </is>
      </c>
      <c r="F54" s="13" t="inlineStr">
        <is>
          <t>audio/likert/Vizhikkuttunai_seg0041-finetuned_20s.wav</t>
        </is>
      </c>
      <c r="G54" s="13" t="n">
        <v>5</v>
      </c>
      <c r="H54" s="13" t="n">
        <v>3</v>
      </c>
      <c r="I54" s="13" t="n">
        <v>4</v>
      </c>
      <c r="J54" s="13" t="n">
        <v>4</v>
      </c>
      <c r="K54" s="13" t="n"/>
      <c r="L54" s="13" t="inlineStr">
        <is>
          <t>Vocal</t>
        </is>
      </c>
      <c r="M54" s="13" t="inlineStr">
        <is>
          <t>test</t>
        </is>
      </c>
      <c r="N54" s="13" t="n"/>
    </row>
    <row r="55" ht="15" customHeight="1">
      <c r="A55" s="13" t="inlineStr">
        <is>
          <t>PAFF06B5</t>
        </is>
      </c>
      <c r="B55" s="13">
        <f>VLOOKUP(A55,Table1[[#All],[Participant ID]:[Persona]],7,0)</f>
        <v/>
      </c>
      <c r="C55" s="15" t="inlineStr">
        <is>
          <t>2026-04-05T16:45:34</t>
        </is>
      </c>
      <c r="D55" s="13" t="inlineStr">
        <is>
          <t>L01</t>
        </is>
      </c>
      <c r="E55" s="13" t="inlineStr">
        <is>
          <t>Chakkani_Raja_seg0058-finetuned_20s</t>
        </is>
      </c>
      <c r="F55" s="13" t="inlineStr">
        <is>
          <t>audio/likert/Chakkani_Raja_seg0058-finetuned_20s.wav</t>
        </is>
      </c>
      <c r="G55" s="13" t="n">
        <v>6</v>
      </c>
      <c r="H55" s="13" t="n">
        <v>4</v>
      </c>
      <c r="I55" s="13" t="n">
        <v>4</v>
      </c>
      <c r="J55" s="13" t="n">
        <v>4</v>
      </c>
      <c r="K55" s="13" t="n"/>
      <c r="L55" s="13" t="inlineStr">
        <is>
          <t>Vocal</t>
        </is>
      </c>
      <c r="M55" s="13" t="inlineStr">
        <is>
          <t>test</t>
        </is>
      </c>
      <c r="N55" s="13" t="n"/>
    </row>
    <row r="56" ht="15" customHeight="1">
      <c r="A56" s="13" t="inlineStr">
        <is>
          <t>PAFD458E</t>
        </is>
      </c>
      <c r="B56" s="13">
        <f>VLOOKUP(A56,Table1[[#All],[Participant ID]:[Persona]],7,0)</f>
        <v/>
      </c>
      <c r="C56" s="15" t="inlineStr">
        <is>
          <t>2026-04-05T17:00:11</t>
        </is>
      </c>
      <c r="D56" s="13" t="inlineStr">
        <is>
          <t>L03</t>
        </is>
      </c>
      <c r="E56" s="13" t="inlineStr">
        <is>
          <t>Nannupalimpa_seg0044-finetuned_20s</t>
        </is>
      </c>
      <c r="F56" s="13" t="inlineStr">
        <is>
          <t>audio/likert/Nannupalimpa_seg0044-finetuned_20s.wav</t>
        </is>
      </c>
      <c r="G56" s="13" t="n">
        <v>1</v>
      </c>
      <c r="H56" s="13" t="n">
        <v>3</v>
      </c>
      <c r="I56" s="13" t="n">
        <v>3</v>
      </c>
      <c r="J56" s="13" t="n">
        <v>3</v>
      </c>
      <c r="K56" s="13" t="n"/>
      <c r="L56" s="13" t="inlineStr">
        <is>
          <t>Vocal</t>
        </is>
      </c>
      <c r="M56" s="13" t="inlineStr">
        <is>
          <t>test</t>
        </is>
      </c>
      <c r="N56" s="13" t="n"/>
    </row>
    <row r="57" ht="15" customHeight="1">
      <c r="A57" s="13" t="inlineStr">
        <is>
          <t>PAFD458E</t>
        </is>
      </c>
      <c r="B57" s="13">
        <f>VLOOKUP(A57,Table1[[#All],[Participant ID]:[Persona]],7,0)</f>
        <v/>
      </c>
      <c r="C57" s="15" t="inlineStr">
        <is>
          <t>2026-04-05T17:00:11</t>
        </is>
      </c>
      <c r="D57" s="13" t="inlineStr">
        <is>
          <t>L06</t>
        </is>
      </c>
      <c r="E57" s="13" t="inlineStr">
        <is>
          <t>Vizhikkuttunai_seg0041-finetuned_20s</t>
        </is>
      </c>
      <c r="F57" s="13" t="inlineStr">
        <is>
          <t>audio/likert/Vizhikkuttunai_seg0041-finetuned_20s.wav</t>
        </is>
      </c>
      <c r="G57" s="13" t="n">
        <v>2</v>
      </c>
      <c r="H57" s="13" t="n">
        <v>3</v>
      </c>
      <c r="I57" s="13" t="n">
        <v>3</v>
      </c>
      <c r="J57" s="13" t="n">
        <v>3</v>
      </c>
      <c r="K57" s="13" t="n"/>
      <c r="L57" s="13" t="inlineStr">
        <is>
          <t>Vocal</t>
        </is>
      </c>
      <c r="M57" s="13" t="inlineStr">
        <is>
          <t>test</t>
        </is>
      </c>
      <c r="N57" s="13" t="n"/>
    </row>
    <row r="58" ht="15" customHeight="1">
      <c r="A58" s="13" t="inlineStr">
        <is>
          <t>PAFD458E</t>
        </is>
      </c>
      <c r="B58" s="13">
        <f>VLOOKUP(A58,Table1[[#All],[Participant ID]:[Persona]],7,0)</f>
        <v/>
      </c>
      <c r="C58" s="15" t="inlineStr">
        <is>
          <t>2026-04-05T17:00:11</t>
        </is>
      </c>
      <c r="D58" s="13" t="inlineStr">
        <is>
          <t>L04</t>
        </is>
      </c>
      <c r="E58" s="13" t="inlineStr">
        <is>
          <t>Ramanatham_Bhajeham_seg0195-finetuned_20s</t>
        </is>
      </c>
      <c r="F58" s="13" t="inlineStr">
        <is>
          <t>audio/likert/Ramanatham_Bhajeham_seg0195-finetuned_20s.wav</t>
        </is>
      </c>
      <c r="G58" s="13" t="n">
        <v>3</v>
      </c>
      <c r="H58" s="13" t="n">
        <v>3</v>
      </c>
      <c r="I58" s="13" t="n">
        <v>3</v>
      </c>
      <c r="J58" s="13" t="n">
        <v>3</v>
      </c>
      <c r="K58" s="13" t="n"/>
      <c r="L58" s="13" t="inlineStr">
        <is>
          <t>Instrumental - Percussion</t>
        </is>
      </c>
      <c r="M58" s="13" t="inlineStr">
        <is>
          <t>test</t>
        </is>
      </c>
      <c r="N58" s="13" t="n"/>
    </row>
    <row r="59" ht="15" customHeight="1">
      <c r="A59" s="13" t="inlineStr">
        <is>
          <t>PAFD458E</t>
        </is>
      </c>
      <c r="B59" s="13">
        <f>VLOOKUP(A59,Table1[[#All],[Participant ID]:[Persona]],7,0)</f>
        <v/>
      </c>
      <c r="C59" s="15" t="inlineStr">
        <is>
          <t>2026-04-05T17:00:11</t>
        </is>
      </c>
      <c r="D59" s="13" t="inlineStr">
        <is>
          <t>L05</t>
        </is>
      </c>
      <c r="E59" s="13" t="inlineStr">
        <is>
          <t>Seshachala_Nayakam_seg0142-finetuned_20s</t>
        </is>
      </c>
      <c r="F59" s="13" t="inlineStr">
        <is>
          <t>audio/likert/Seshachala_Nayakam_seg0142-finetuned_20s.wav</t>
        </is>
      </c>
      <c r="G59" s="13" t="n">
        <v>4</v>
      </c>
      <c r="H59" s="13" t="n">
        <v>4</v>
      </c>
      <c r="I59" s="13" t="n">
        <v>4</v>
      </c>
      <c r="J59" s="13" t="n">
        <v>4</v>
      </c>
      <c r="K59" s="13" t="n"/>
      <c r="L59" s="13" t="inlineStr">
        <is>
          <t>Instrumental - Violin</t>
        </is>
      </c>
      <c r="M59" s="13" t="inlineStr">
        <is>
          <t>test</t>
        </is>
      </c>
      <c r="N59" s="13" t="n"/>
    </row>
    <row r="60" ht="15" customHeight="1">
      <c r="A60" s="13" t="inlineStr">
        <is>
          <t>PAFD458E</t>
        </is>
      </c>
      <c r="B60" s="13">
        <f>VLOOKUP(A60,Table1[[#All],[Participant ID]:[Persona]],7,0)</f>
        <v/>
      </c>
      <c r="C60" s="15" t="inlineStr">
        <is>
          <t>2026-04-05T17:00:11</t>
        </is>
      </c>
      <c r="D60" s="13" t="inlineStr">
        <is>
          <t>L02</t>
        </is>
      </c>
      <c r="E60" s="13" t="inlineStr">
        <is>
          <t>Chakkani_Raja_seg0200-finetuned_20s</t>
        </is>
      </c>
      <c r="F60" s="13" t="inlineStr">
        <is>
          <t>audio/likert/Chakkani_Raja_seg0200-finetuned_20s.wav</t>
        </is>
      </c>
      <c r="G60" s="13" t="n">
        <v>5</v>
      </c>
      <c r="H60" s="13" t="n">
        <v>3</v>
      </c>
      <c r="I60" s="13" t="n">
        <v>3</v>
      </c>
      <c r="J60" s="13" t="n">
        <v>3</v>
      </c>
      <c r="K60" s="13" t="n"/>
      <c r="L60" s="13" t="inlineStr">
        <is>
          <t>Instrumental - Violin</t>
        </is>
      </c>
      <c r="M60" s="13" t="inlineStr">
        <is>
          <t>test</t>
        </is>
      </c>
      <c r="N60" s="13" t="n"/>
    </row>
    <row r="61" ht="15" customHeight="1">
      <c r="A61" s="13" t="inlineStr">
        <is>
          <t>PAFD458E</t>
        </is>
      </c>
      <c r="B61" s="13">
        <f>VLOOKUP(A61,Table1[[#All],[Participant ID]:[Persona]],7,0)</f>
        <v/>
      </c>
      <c r="C61" s="15" t="inlineStr">
        <is>
          <t>2026-04-05T17:00:11</t>
        </is>
      </c>
      <c r="D61" s="13" t="inlineStr">
        <is>
          <t>L01</t>
        </is>
      </c>
      <c r="E61" s="13" t="inlineStr">
        <is>
          <t>Chakkani_Raja_seg0058-finetuned_20s</t>
        </is>
      </c>
      <c r="F61" s="13" t="inlineStr">
        <is>
          <t>audio/likert/Chakkani_Raja_seg0058-finetuned_20s.wav</t>
        </is>
      </c>
      <c r="G61" s="13" t="n">
        <v>6</v>
      </c>
      <c r="H61" s="13" t="n">
        <v>3</v>
      </c>
      <c r="I61" s="13" t="n">
        <v>3</v>
      </c>
      <c r="J61" s="13" t="n">
        <v>3</v>
      </c>
      <c r="K61" s="13" t="n"/>
      <c r="L61" s="13" t="inlineStr">
        <is>
          <t>Vocal</t>
        </is>
      </c>
      <c r="M61" s="13" t="inlineStr">
        <is>
          <t>test</t>
        </is>
      </c>
      <c r="N61" s="13" t="n"/>
    </row>
    <row r="62" ht="15" customHeight="1">
      <c r="A62" s="13" t="inlineStr">
        <is>
          <t>PA63AB30</t>
        </is>
      </c>
      <c r="B62" s="13">
        <f>VLOOKUP(A62,Table1[[#All],[Participant ID]:[Persona]],7,0)</f>
        <v/>
      </c>
      <c r="C62" s="15" t="inlineStr">
        <is>
          <t>2026-04-06T02:28:38</t>
        </is>
      </c>
      <c r="D62" s="13" t="inlineStr">
        <is>
          <t>L02</t>
        </is>
      </c>
      <c r="E62" s="13" t="inlineStr">
        <is>
          <t>Chakkani_Raja_seg0200-finetuned_20s</t>
        </is>
      </c>
      <c r="F62" s="13" t="inlineStr">
        <is>
          <t>audio/likert/Chakkani_Raja_seg0200-finetuned_20s.wav</t>
        </is>
      </c>
      <c r="G62" s="13" t="n">
        <v>1</v>
      </c>
      <c r="H62" s="13" t="n">
        <v>3</v>
      </c>
      <c r="I62" s="13" t="n">
        <v>4</v>
      </c>
      <c r="J62" s="13" t="n">
        <v>5</v>
      </c>
      <c r="K62" s="13" t="n"/>
      <c r="L62" s="13" t="inlineStr">
        <is>
          <t>Instrumental - Violin</t>
        </is>
      </c>
      <c r="M62" s="13" t="inlineStr">
        <is>
          <t>test</t>
        </is>
      </c>
      <c r="N62" s="13" t="n"/>
    </row>
    <row r="63" ht="15" customHeight="1">
      <c r="A63" s="13" t="inlineStr">
        <is>
          <t>PA63AB30</t>
        </is>
      </c>
      <c r="B63" s="13">
        <f>VLOOKUP(A63,Table1[[#All],[Participant ID]:[Persona]],7,0)</f>
        <v/>
      </c>
      <c r="C63" s="15" t="inlineStr">
        <is>
          <t>2026-04-06T02:28:38</t>
        </is>
      </c>
      <c r="D63" s="13" t="inlineStr">
        <is>
          <t>L05</t>
        </is>
      </c>
      <c r="E63" s="13" t="inlineStr">
        <is>
          <t>Seshachala_Nayakam_seg0142-finetuned_20s</t>
        </is>
      </c>
      <c r="F63" s="13" t="inlineStr">
        <is>
          <t>audio/likert/Seshachala_Nayakam_seg0142-finetuned_20s.wav</t>
        </is>
      </c>
      <c r="G63" s="13" t="n">
        <v>2</v>
      </c>
      <c r="H63" s="13" t="n">
        <v>4</v>
      </c>
      <c r="I63" s="13" t="n">
        <v>4</v>
      </c>
      <c r="J63" s="13" t="n">
        <v>5</v>
      </c>
      <c r="K63" s="13" t="n"/>
      <c r="L63" s="13" t="inlineStr">
        <is>
          <t>Instrumental - Violin</t>
        </is>
      </c>
      <c r="M63" s="13" t="inlineStr">
        <is>
          <t>test</t>
        </is>
      </c>
      <c r="N63" s="13" t="n"/>
    </row>
    <row r="64" ht="15" customHeight="1">
      <c r="A64" s="13" t="inlineStr">
        <is>
          <t>PA63AB30</t>
        </is>
      </c>
      <c r="B64" s="13">
        <f>VLOOKUP(A64,Table1[[#All],[Participant ID]:[Persona]],7,0)</f>
        <v/>
      </c>
      <c r="C64" s="15" t="inlineStr">
        <is>
          <t>2026-04-06T02:28:38</t>
        </is>
      </c>
      <c r="D64" s="13" t="inlineStr">
        <is>
          <t>L03</t>
        </is>
      </c>
      <c r="E64" s="13" t="inlineStr">
        <is>
          <t>Nannupalimpa_seg0044-finetuned_20s</t>
        </is>
      </c>
      <c r="F64" s="13" t="inlineStr">
        <is>
          <t>audio/likert/Nannupalimpa_seg0044-finetuned_20s.wav</t>
        </is>
      </c>
      <c r="G64" s="13" t="n">
        <v>3</v>
      </c>
      <c r="H64" s="13" t="n">
        <v>4</v>
      </c>
      <c r="I64" s="13" t="n">
        <v>5</v>
      </c>
      <c r="J64" s="13" t="n">
        <v>4</v>
      </c>
      <c r="K64" s="13" t="n"/>
      <c r="L64" s="13" t="inlineStr">
        <is>
          <t>Vocal</t>
        </is>
      </c>
      <c r="M64" s="13" t="inlineStr">
        <is>
          <t>test</t>
        </is>
      </c>
      <c r="N64" s="13" t="n"/>
    </row>
    <row r="65" ht="15" customHeight="1">
      <c r="A65" s="13" t="inlineStr">
        <is>
          <t>PA63AB30</t>
        </is>
      </c>
      <c r="B65" s="13">
        <f>VLOOKUP(A65,Table1[[#All],[Participant ID]:[Persona]],7,0)</f>
        <v/>
      </c>
      <c r="C65" s="15" t="inlineStr">
        <is>
          <t>2026-04-06T02:28:38</t>
        </is>
      </c>
      <c r="D65" s="13" t="inlineStr">
        <is>
          <t>L06</t>
        </is>
      </c>
      <c r="E65" s="13" t="inlineStr">
        <is>
          <t>Vizhikkuttunai_seg0041-finetuned_20s</t>
        </is>
      </c>
      <c r="F65" s="13" t="inlineStr">
        <is>
          <t>audio/likert/Vizhikkuttunai_seg0041-finetuned_20s.wav</t>
        </is>
      </c>
      <c r="G65" s="13" t="n">
        <v>4</v>
      </c>
      <c r="H65" s="13" t="n">
        <v>4</v>
      </c>
      <c r="I65" s="13" t="n">
        <v>4</v>
      </c>
      <c r="J65" s="13" t="n">
        <v>5</v>
      </c>
      <c r="K65" s="13" t="n"/>
      <c r="L65" s="13" t="inlineStr">
        <is>
          <t>Vocal</t>
        </is>
      </c>
      <c r="M65" s="13" t="inlineStr">
        <is>
          <t>test</t>
        </is>
      </c>
      <c r="N65" s="13" t="n"/>
    </row>
    <row r="66" ht="15" customHeight="1">
      <c r="A66" s="13" t="inlineStr">
        <is>
          <t>PA63AB30</t>
        </is>
      </c>
      <c r="B66" s="13">
        <f>VLOOKUP(A66,Table1[[#All],[Participant ID]:[Persona]],7,0)</f>
        <v/>
      </c>
      <c r="C66" s="15" t="inlineStr">
        <is>
          <t>2026-04-06T02:28:38</t>
        </is>
      </c>
      <c r="D66" s="13" t="inlineStr">
        <is>
          <t>L04</t>
        </is>
      </c>
      <c r="E66" s="13" t="inlineStr">
        <is>
          <t>Ramanatham_Bhajeham_seg0195-finetuned_20s</t>
        </is>
      </c>
      <c r="F66" s="13" t="inlineStr">
        <is>
          <t>audio/likert/Ramanatham_Bhajeham_seg0195-finetuned_20s.wav</t>
        </is>
      </c>
      <c r="G66" s="13" t="n">
        <v>5</v>
      </c>
      <c r="H66" s="13" t="n">
        <v>4</v>
      </c>
      <c r="I66" s="13" t="n">
        <v>5</v>
      </c>
      <c r="J66" s="13" t="n">
        <v>3</v>
      </c>
      <c r="K66" s="13" t="n"/>
      <c r="L66" s="13" t="inlineStr">
        <is>
          <t>Instrumental - Percussion</t>
        </is>
      </c>
      <c r="M66" s="13" t="inlineStr">
        <is>
          <t>test</t>
        </is>
      </c>
      <c r="N66" s="13" t="n"/>
    </row>
    <row r="67" ht="15" customHeight="1">
      <c r="A67" s="13" t="inlineStr">
        <is>
          <t>PA63AB30</t>
        </is>
      </c>
      <c r="B67" s="13">
        <f>VLOOKUP(A67,Table1[[#All],[Participant ID]:[Persona]],7,0)</f>
        <v/>
      </c>
      <c r="C67" s="15" t="inlineStr">
        <is>
          <t>2026-04-06T02:28:38</t>
        </is>
      </c>
      <c r="D67" s="13" t="inlineStr">
        <is>
          <t>L01</t>
        </is>
      </c>
      <c r="E67" s="13" t="inlineStr">
        <is>
          <t>Chakkani_Raja_seg0058-finetuned_20s</t>
        </is>
      </c>
      <c r="F67" s="13" t="inlineStr">
        <is>
          <t>audio/likert/Chakkani_Raja_seg0058-finetuned_20s.wav</t>
        </is>
      </c>
      <c r="G67" s="13" t="n">
        <v>6</v>
      </c>
      <c r="H67" s="13" t="n">
        <v>5</v>
      </c>
      <c r="I67" s="13" t="n">
        <v>4</v>
      </c>
      <c r="J67" s="13" t="n">
        <v>5</v>
      </c>
      <c r="K67" s="13" t="n"/>
      <c r="L67" s="13" t="inlineStr">
        <is>
          <t>Vocal</t>
        </is>
      </c>
      <c r="M67" s="13" t="inlineStr">
        <is>
          <t>test</t>
        </is>
      </c>
      <c r="N67" s="13" t="n"/>
    </row>
    <row r="68" ht="15" customHeight="1">
      <c r="A68" s="13" t="inlineStr">
        <is>
          <t>PAC63068</t>
        </is>
      </c>
      <c r="B68" s="13">
        <f>VLOOKUP(A68,Table1[[#All],[Participant ID]:[Persona]],7,0)</f>
        <v/>
      </c>
      <c r="C68" s="15" t="inlineStr">
        <is>
          <t>2026-04-06T07:02:51</t>
        </is>
      </c>
      <c r="D68" s="13" t="inlineStr">
        <is>
          <t>L02</t>
        </is>
      </c>
      <c r="E68" s="13" t="inlineStr">
        <is>
          <t>Chakkani_Raja_seg0200-finetuned_20s</t>
        </is>
      </c>
      <c r="F68" s="13" t="inlineStr">
        <is>
          <t>audio/likert/Chakkani_Raja_seg0200-finetuned_20s.wav</t>
        </is>
      </c>
      <c r="G68" s="13" t="n">
        <v>1</v>
      </c>
      <c r="H68" s="13" t="n">
        <v>5</v>
      </c>
      <c r="I68" s="13" t="n">
        <v>5</v>
      </c>
      <c r="J68" s="13" t="n">
        <v>5</v>
      </c>
      <c r="K68" s="13" t="n"/>
      <c r="L68" s="13" t="inlineStr">
        <is>
          <t>Instrumental - Violin</t>
        </is>
      </c>
      <c r="M68" s="13" t="inlineStr">
        <is>
          <t>test</t>
        </is>
      </c>
      <c r="N68" s="13" t="n"/>
    </row>
    <row r="69" ht="15" customHeight="1">
      <c r="A69" s="13" t="inlineStr">
        <is>
          <t>PAC63068</t>
        </is>
      </c>
      <c r="B69" s="13">
        <f>VLOOKUP(A69,Table1[[#All],[Participant ID]:[Persona]],7,0)</f>
        <v/>
      </c>
      <c r="C69" s="15" t="inlineStr">
        <is>
          <t>2026-04-06T07:02:51</t>
        </is>
      </c>
      <c r="D69" s="13" t="inlineStr">
        <is>
          <t>L04</t>
        </is>
      </c>
      <c r="E69" s="13" t="inlineStr">
        <is>
          <t>Ramanatham_Bhajeham_seg0195-finetuned_20s</t>
        </is>
      </c>
      <c r="F69" s="13" t="inlineStr">
        <is>
          <t>audio/likert/Ramanatham_Bhajeham_seg0195-finetuned_20s.wav</t>
        </is>
      </c>
      <c r="G69" s="13" t="n">
        <v>2</v>
      </c>
      <c r="H69" s="13" t="n">
        <v>5</v>
      </c>
      <c r="I69" s="13" t="n">
        <v>4</v>
      </c>
      <c r="J69" s="13" t="n">
        <v>4</v>
      </c>
      <c r="K69" s="13" t="n"/>
      <c r="L69" s="13" t="inlineStr">
        <is>
          <t>Instrumental - Percussion</t>
        </is>
      </c>
      <c r="M69" s="13" t="inlineStr">
        <is>
          <t>test</t>
        </is>
      </c>
      <c r="N69" s="13" t="n"/>
    </row>
    <row r="70" ht="15" customHeight="1">
      <c r="A70" s="13" t="inlineStr">
        <is>
          <t>PAC63068</t>
        </is>
      </c>
      <c r="B70" s="13">
        <f>VLOOKUP(A70,Table1[[#All],[Participant ID]:[Persona]],7,0)</f>
        <v/>
      </c>
      <c r="C70" s="15" t="inlineStr">
        <is>
          <t>2026-04-06T07:02:51</t>
        </is>
      </c>
      <c r="D70" s="13" t="inlineStr">
        <is>
          <t>L01</t>
        </is>
      </c>
      <c r="E70" s="13" t="inlineStr">
        <is>
          <t>Chakkani_Raja_seg0058-finetuned_20s</t>
        </is>
      </c>
      <c r="F70" s="13" t="inlineStr">
        <is>
          <t>audio/likert/Chakkani_Raja_seg0058-finetuned_20s.wav</t>
        </is>
      </c>
      <c r="G70" s="13" t="n">
        <v>3</v>
      </c>
      <c r="H70" s="13" t="n">
        <v>5</v>
      </c>
      <c r="I70" s="13" t="n">
        <v>5</v>
      </c>
      <c r="J70" s="13" t="n">
        <v>5</v>
      </c>
      <c r="K70" s="13" t="n"/>
      <c r="L70" s="13" t="inlineStr">
        <is>
          <t>Vocal</t>
        </is>
      </c>
      <c r="M70" s="13" t="inlineStr">
        <is>
          <t>test</t>
        </is>
      </c>
      <c r="N70" s="13" t="n"/>
    </row>
    <row r="71" ht="15" customHeight="1">
      <c r="A71" s="13" t="inlineStr">
        <is>
          <t>PAC63068</t>
        </is>
      </c>
      <c r="B71" s="13">
        <f>VLOOKUP(A71,Table1[[#All],[Participant ID]:[Persona]],7,0)</f>
        <v/>
      </c>
      <c r="C71" s="15" t="inlineStr">
        <is>
          <t>2026-04-06T07:02:51</t>
        </is>
      </c>
      <c r="D71" s="13" t="inlineStr">
        <is>
          <t>L06</t>
        </is>
      </c>
      <c r="E71" s="13" t="inlineStr">
        <is>
          <t>Vizhikkuttunai_seg0041-finetuned_20s</t>
        </is>
      </c>
      <c r="F71" s="13" t="inlineStr">
        <is>
          <t>audio/likert/Vizhikkuttunai_seg0041-finetuned_20s.wav</t>
        </is>
      </c>
      <c r="G71" s="13" t="n">
        <v>4</v>
      </c>
      <c r="H71" s="13" t="n">
        <v>5</v>
      </c>
      <c r="I71" s="13" t="n">
        <v>5</v>
      </c>
      <c r="J71" s="13" t="n">
        <v>5</v>
      </c>
      <c r="K71" s="13" t="n"/>
      <c r="L71" s="13" t="inlineStr">
        <is>
          <t>Vocal</t>
        </is>
      </c>
      <c r="M71" s="13" t="inlineStr">
        <is>
          <t>test</t>
        </is>
      </c>
      <c r="N71" s="13" t="n"/>
    </row>
    <row r="72" ht="15" customHeight="1">
      <c r="A72" s="13" t="inlineStr">
        <is>
          <t>PAC63068</t>
        </is>
      </c>
      <c r="B72" s="13">
        <f>VLOOKUP(A72,Table1[[#All],[Participant ID]:[Persona]],7,0)</f>
        <v/>
      </c>
      <c r="C72" s="15" t="inlineStr">
        <is>
          <t>2026-04-06T07:02:51</t>
        </is>
      </c>
      <c r="D72" s="13" t="inlineStr">
        <is>
          <t>L05</t>
        </is>
      </c>
      <c r="E72" s="13" t="inlineStr">
        <is>
          <t>Seshachala_Nayakam_seg0142-finetuned_20s</t>
        </is>
      </c>
      <c r="F72" s="13" t="inlineStr">
        <is>
          <t>audio/likert/Seshachala_Nayakam_seg0142-finetuned_20s.wav</t>
        </is>
      </c>
      <c r="G72" s="13" t="n">
        <v>5</v>
      </c>
      <c r="H72" s="13" t="n">
        <v>5</v>
      </c>
      <c r="I72" s="13" t="n">
        <v>5</v>
      </c>
      <c r="J72" s="13" t="n">
        <v>5</v>
      </c>
      <c r="K72" s="13" t="n"/>
      <c r="L72" s="13" t="inlineStr">
        <is>
          <t>Instrumental - Violin</t>
        </is>
      </c>
      <c r="M72" s="13" t="inlineStr">
        <is>
          <t>test</t>
        </is>
      </c>
      <c r="N72" s="13" t="n"/>
    </row>
    <row r="73" ht="15" customHeight="1">
      <c r="A73" s="13" t="inlineStr">
        <is>
          <t>PAC63068</t>
        </is>
      </c>
      <c r="B73" s="13">
        <f>VLOOKUP(A73,Table1[[#All],[Participant ID]:[Persona]],7,0)</f>
        <v/>
      </c>
      <c r="C73" s="15" t="inlineStr">
        <is>
          <t>2026-04-06T07:02:51</t>
        </is>
      </c>
      <c r="D73" s="13" t="inlineStr">
        <is>
          <t>L03</t>
        </is>
      </c>
      <c r="E73" s="13" t="inlineStr">
        <is>
          <t>Nannupalimpa_seg0044-finetuned_20s</t>
        </is>
      </c>
      <c r="F73" s="13" t="inlineStr">
        <is>
          <t>audio/likert/Nannupalimpa_seg0044-finetuned_20s.wav</t>
        </is>
      </c>
      <c r="G73" s="13" t="n">
        <v>6</v>
      </c>
      <c r="H73" s="13" t="n">
        <v>5</v>
      </c>
      <c r="I73" s="13" t="n">
        <v>4</v>
      </c>
      <c r="J73" s="13" t="n">
        <v>5</v>
      </c>
      <c r="K73" s="13" t="n"/>
      <c r="L73" s="13" t="inlineStr">
        <is>
          <t>Vocal</t>
        </is>
      </c>
      <c r="M73" s="13" t="inlineStr">
        <is>
          <t>test</t>
        </is>
      </c>
      <c r="N73" s="13" t="n"/>
    </row>
    <row r="74" ht="15" customHeight="1">
      <c r="A74" s="13" t="inlineStr">
        <is>
          <t>PA733F90</t>
        </is>
      </c>
      <c r="B74" s="13">
        <f>VLOOKUP(A74,Table1[[#All],[Participant ID]:[Persona]],7,0)</f>
        <v/>
      </c>
      <c r="C74" s="15" t="inlineStr">
        <is>
          <t>2026-04-06T10:13:45</t>
        </is>
      </c>
      <c r="D74" s="13" t="inlineStr">
        <is>
          <t>L02</t>
        </is>
      </c>
      <c r="E74" s="13" t="inlineStr">
        <is>
          <t>Chakkani_Raja_seg0200-finetuned_20s</t>
        </is>
      </c>
      <c r="F74" s="13" t="inlineStr">
        <is>
          <t>audio/likert/Chakkani_Raja_seg0200-finetuned_20s.wav</t>
        </is>
      </c>
      <c r="G74" s="13" t="n">
        <v>1</v>
      </c>
      <c r="H74" s="13" t="n">
        <v>3</v>
      </c>
      <c r="I74" s="13" t="n">
        <v>3</v>
      </c>
      <c r="J74" s="13" t="n">
        <v>4</v>
      </c>
      <c r="K74" s="13" t="inlineStr">
        <is>
          <t xml:space="preserve">Time lag </t>
        </is>
      </c>
      <c r="L74" s="13" t="inlineStr">
        <is>
          <t>Instrumental - Violin</t>
        </is>
      </c>
      <c r="M74" s="13" t="inlineStr">
        <is>
          <t>test</t>
        </is>
      </c>
      <c r="N74" s="13" t="n"/>
    </row>
    <row r="75" ht="15" customHeight="1">
      <c r="A75" s="13" t="inlineStr">
        <is>
          <t>PA733F90</t>
        </is>
      </c>
      <c r="B75" s="13">
        <f>VLOOKUP(A75,Table1[[#All],[Participant ID]:[Persona]],7,0)</f>
        <v/>
      </c>
      <c r="C75" s="15" t="inlineStr">
        <is>
          <t>2026-04-06T10:13:45</t>
        </is>
      </c>
      <c r="D75" s="13" t="inlineStr">
        <is>
          <t>L04</t>
        </is>
      </c>
      <c r="E75" s="13" t="inlineStr">
        <is>
          <t>Ramanatham_Bhajeham_seg0195-finetuned_20s</t>
        </is>
      </c>
      <c r="F75" s="13" t="inlineStr">
        <is>
          <t>audio/likert/Ramanatham_Bhajeham_seg0195-finetuned_20s.wav</t>
        </is>
      </c>
      <c r="G75" s="13" t="n">
        <v>2</v>
      </c>
      <c r="H75" s="13" t="n">
        <v>5</v>
      </c>
      <c r="I75" s="13" t="n">
        <v>4</v>
      </c>
      <c r="J75" s="13" t="n">
        <v>5</v>
      </c>
      <c r="K75" s="13" t="inlineStr">
        <is>
          <t xml:space="preserve">Good for gatam </t>
        </is>
      </c>
      <c r="L75" s="13" t="inlineStr">
        <is>
          <t>Instrumental - Percussion</t>
        </is>
      </c>
      <c r="M75" s="13" t="inlineStr">
        <is>
          <t>test</t>
        </is>
      </c>
      <c r="N75" s="13" t="n"/>
    </row>
    <row r="76" ht="15" customHeight="1">
      <c r="A76" s="13" t="inlineStr">
        <is>
          <t>PA733F90</t>
        </is>
      </c>
      <c r="B76" s="13">
        <f>VLOOKUP(A76,Table1[[#All],[Participant ID]:[Persona]],7,0)</f>
        <v/>
      </c>
      <c r="C76" s="15" t="inlineStr">
        <is>
          <t>2026-04-06T10:13:45</t>
        </is>
      </c>
      <c r="D76" s="13" t="inlineStr">
        <is>
          <t>L05</t>
        </is>
      </c>
      <c r="E76" s="13" t="inlineStr">
        <is>
          <t>Seshachala_Nayakam_seg0142-finetuned_20s</t>
        </is>
      </c>
      <c r="F76" s="13" t="inlineStr">
        <is>
          <t>audio/likert/Seshachala_Nayakam_seg0142-finetuned_20s.wav</t>
        </is>
      </c>
      <c r="G76" s="13" t="n">
        <v>3</v>
      </c>
      <c r="H76" s="13" t="n">
        <v>4</v>
      </c>
      <c r="I76" s="13" t="n">
        <v>3</v>
      </c>
      <c r="J76" s="13" t="n">
        <v>5</v>
      </c>
      <c r="K76" s="13" t="n"/>
      <c r="L76" s="13" t="inlineStr">
        <is>
          <t>Instrumental - Violin</t>
        </is>
      </c>
      <c r="M76" s="13" t="inlineStr">
        <is>
          <t>test</t>
        </is>
      </c>
      <c r="N76" s="13" t="n"/>
    </row>
    <row r="77" ht="15" customHeight="1">
      <c r="A77" s="13" t="inlineStr">
        <is>
          <t>PA733F90</t>
        </is>
      </c>
      <c r="B77" s="13">
        <f>VLOOKUP(A77,Table1[[#All],[Participant ID]:[Persona]],7,0)</f>
        <v/>
      </c>
      <c r="C77" s="15" t="inlineStr">
        <is>
          <t>2026-04-06T10:13:45</t>
        </is>
      </c>
      <c r="D77" s="13" t="inlineStr">
        <is>
          <t>L06</t>
        </is>
      </c>
      <c r="E77" s="13" t="inlineStr">
        <is>
          <t>Vizhikkuttunai_seg0041-finetuned_20s</t>
        </is>
      </c>
      <c r="F77" s="13" t="inlineStr">
        <is>
          <t>audio/likert/Vizhikkuttunai_seg0041-finetuned_20s.wav</t>
        </is>
      </c>
      <c r="G77" s="13" t="n">
        <v>4</v>
      </c>
      <c r="H77" s="13" t="n">
        <v>3</v>
      </c>
      <c r="I77" s="13" t="n">
        <v>3</v>
      </c>
      <c r="J77" s="13" t="n">
        <v>4</v>
      </c>
      <c r="K77" s="13" t="inlineStr">
        <is>
          <t xml:space="preserve">I feel smoothness   for human voice can be  improved. </t>
        </is>
      </c>
      <c r="L77" s="13" t="inlineStr">
        <is>
          <t>Vocal</t>
        </is>
      </c>
      <c r="M77" s="13" t="inlineStr">
        <is>
          <t>test</t>
        </is>
      </c>
      <c r="N77" s="13" t="n"/>
    </row>
    <row r="78" ht="15" customHeight="1">
      <c r="A78" s="13" t="inlineStr">
        <is>
          <t>PA733F90</t>
        </is>
      </c>
      <c r="B78" s="13">
        <f>VLOOKUP(A78,Table1[[#All],[Participant ID]:[Persona]],7,0)</f>
        <v/>
      </c>
      <c r="C78" s="15" t="inlineStr">
        <is>
          <t>2026-04-06T10:13:45</t>
        </is>
      </c>
      <c r="D78" s="13" t="inlineStr">
        <is>
          <t>L01</t>
        </is>
      </c>
      <c r="E78" s="13" t="inlineStr">
        <is>
          <t>Chakkani_Raja_seg0058-finetuned_20s</t>
        </is>
      </c>
      <c r="F78" s="13" t="inlineStr">
        <is>
          <t>audio/likert/Chakkani_Raja_seg0058-finetuned_20s.wav</t>
        </is>
      </c>
      <c r="G78" s="13" t="n">
        <v>5</v>
      </c>
      <c r="H78" s="13" t="n">
        <v>3</v>
      </c>
      <c r="I78" s="13" t="n">
        <v>3</v>
      </c>
      <c r="J78" s="13" t="n">
        <v>4</v>
      </c>
      <c r="K78" s="13" t="inlineStr">
        <is>
          <t xml:space="preserve">Time lag can be improved </t>
        </is>
      </c>
      <c r="L78" s="13" t="inlineStr">
        <is>
          <t>Vocal</t>
        </is>
      </c>
      <c r="M78" s="13" t="inlineStr">
        <is>
          <t>test</t>
        </is>
      </c>
      <c r="N78" s="13" t="n"/>
    </row>
    <row r="79" ht="15" customHeight="1">
      <c r="A79" s="13" t="inlineStr">
        <is>
          <t>PA733F90</t>
        </is>
      </c>
      <c r="B79" s="13">
        <f>VLOOKUP(A79,Table1[[#All],[Participant ID]:[Persona]],7,0)</f>
        <v/>
      </c>
      <c r="C79" s="15" t="inlineStr">
        <is>
          <t>2026-04-06T10:13:45</t>
        </is>
      </c>
      <c r="D79" s="13" t="inlineStr">
        <is>
          <t>L03</t>
        </is>
      </c>
      <c r="E79" s="13" t="inlineStr">
        <is>
          <t>Nannupalimpa_seg0044-finetuned_20s</t>
        </is>
      </c>
      <c r="F79" s="13" t="inlineStr">
        <is>
          <t>audio/likert/Nannupalimpa_seg0044-finetuned_20s.wav</t>
        </is>
      </c>
      <c r="G79" s="13" t="n">
        <v>6</v>
      </c>
      <c r="H79" s="13" t="n">
        <v>4</v>
      </c>
      <c r="I79" s="13" t="n">
        <v>3</v>
      </c>
      <c r="J79" s="13" t="n">
        <v>4</v>
      </c>
      <c r="K79" s="13" t="n"/>
      <c r="L79" s="13" t="inlineStr">
        <is>
          <t>Vocal</t>
        </is>
      </c>
      <c r="M79" s="13" t="inlineStr">
        <is>
          <t>test</t>
        </is>
      </c>
      <c r="N79" s="13" t="n"/>
    </row>
    <row r="80" ht="15" customHeight="1">
      <c r="A80" s="13" t="inlineStr">
        <is>
          <t>PAABD6E8</t>
        </is>
      </c>
      <c r="B80" s="13">
        <f>VLOOKUP(A80,Table1[[#All],[Participant ID]:[Persona]],7,0)</f>
        <v/>
      </c>
      <c r="C80" s="15" t="inlineStr">
        <is>
          <t>2026-04-06T10:57:57</t>
        </is>
      </c>
      <c r="D80" s="13" t="inlineStr">
        <is>
          <t>L06</t>
        </is>
      </c>
      <c r="E80" s="13" t="inlineStr">
        <is>
          <t>Vizhikkuttunai_seg0041-finetuned_20s</t>
        </is>
      </c>
      <c r="F80" s="13" t="inlineStr">
        <is>
          <t>audio/likert/Vizhikkuttunai_seg0041-finetuned_20s.wav</t>
        </is>
      </c>
      <c r="G80" s="13" t="n">
        <v>1</v>
      </c>
      <c r="H80" s="13" t="n">
        <v>4</v>
      </c>
      <c r="I80" s="13" t="n">
        <v>4</v>
      </c>
      <c r="J80" s="13" t="n">
        <v>4</v>
      </c>
      <c r="K80" s="13" t="n"/>
      <c r="L80" s="13" t="inlineStr">
        <is>
          <t>Vocal</t>
        </is>
      </c>
      <c r="M80" s="13" t="inlineStr">
        <is>
          <t>test</t>
        </is>
      </c>
      <c r="N80" s="13" t="n"/>
    </row>
    <row r="81" ht="15" customHeight="1">
      <c r="A81" s="13" t="inlineStr">
        <is>
          <t>PAABD6E8</t>
        </is>
      </c>
      <c r="B81" s="13">
        <f>VLOOKUP(A81,Table1[[#All],[Participant ID]:[Persona]],7,0)</f>
        <v/>
      </c>
      <c r="C81" s="15" t="inlineStr">
        <is>
          <t>2026-04-06T10:57:57</t>
        </is>
      </c>
      <c r="D81" s="13" t="inlineStr">
        <is>
          <t>L03</t>
        </is>
      </c>
      <c r="E81" s="13" t="inlineStr">
        <is>
          <t>Nannupalimpa_seg0044-finetuned_20s</t>
        </is>
      </c>
      <c r="F81" s="13" t="inlineStr">
        <is>
          <t>audio/likert/Nannupalimpa_seg0044-finetuned_20s.wav</t>
        </is>
      </c>
      <c r="G81" s="13" t="n">
        <v>2</v>
      </c>
      <c r="H81" s="13" t="n">
        <v>4</v>
      </c>
      <c r="I81" s="13" t="n">
        <v>4</v>
      </c>
      <c r="J81" s="13" t="n">
        <v>4</v>
      </c>
      <c r="K81" s="13" t="n"/>
      <c r="L81" s="13" t="inlineStr">
        <is>
          <t>Vocal</t>
        </is>
      </c>
      <c r="M81" s="13" t="inlineStr">
        <is>
          <t>test</t>
        </is>
      </c>
      <c r="N81" s="13" t="n"/>
    </row>
    <row r="82" ht="15" customHeight="1">
      <c r="A82" s="13" t="inlineStr">
        <is>
          <t>PAABD6E8</t>
        </is>
      </c>
      <c r="B82" s="13">
        <f>VLOOKUP(A82,Table1[[#All],[Participant ID]:[Persona]],7,0)</f>
        <v/>
      </c>
      <c r="C82" s="15" t="inlineStr">
        <is>
          <t>2026-04-06T10:57:57</t>
        </is>
      </c>
      <c r="D82" s="13" t="inlineStr">
        <is>
          <t>L04</t>
        </is>
      </c>
      <c r="E82" s="13" t="inlineStr">
        <is>
          <t>Ramanatham_Bhajeham_seg0195-finetuned_20s</t>
        </is>
      </c>
      <c r="F82" s="13" t="inlineStr">
        <is>
          <t>audio/likert/Ramanatham_Bhajeham_seg0195-finetuned_20s.wav</t>
        </is>
      </c>
      <c r="G82" s="13" t="n">
        <v>3</v>
      </c>
      <c r="H82" s="13" t="n">
        <v>4</v>
      </c>
      <c r="I82" s="13" t="n">
        <v>4</v>
      </c>
      <c r="J82" s="13" t="n">
        <v>4</v>
      </c>
      <c r="K82" s="13" t="n"/>
      <c r="L82" s="13" t="inlineStr">
        <is>
          <t>Instrumental - Percussion</t>
        </is>
      </c>
      <c r="M82" s="13" t="inlineStr">
        <is>
          <t>test</t>
        </is>
      </c>
      <c r="N82" s="13" t="n"/>
    </row>
    <row r="83" ht="15" customHeight="1">
      <c r="A83" s="13" t="inlineStr">
        <is>
          <t>PAABD6E8</t>
        </is>
      </c>
      <c r="B83" s="13">
        <f>VLOOKUP(A83,Table1[[#All],[Participant ID]:[Persona]],7,0)</f>
        <v/>
      </c>
      <c r="C83" s="15" t="inlineStr">
        <is>
          <t>2026-04-06T10:57:57</t>
        </is>
      </c>
      <c r="D83" s="13" t="inlineStr">
        <is>
          <t>L05</t>
        </is>
      </c>
      <c r="E83" s="13" t="inlineStr">
        <is>
          <t>Seshachala_Nayakam_seg0142-finetuned_20s</t>
        </is>
      </c>
      <c r="F83" s="13" t="inlineStr">
        <is>
          <t>audio/likert/Seshachala_Nayakam_seg0142-finetuned_20s.wav</t>
        </is>
      </c>
      <c r="G83" s="13" t="n">
        <v>4</v>
      </c>
      <c r="H83" s="13" t="n">
        <v>4</v>
      </c>
      <c r="I83" s="13" t="n">
        <v>4</v>
      </c>
      <c r="J83" s="13" t="n">
        <v>4</v>
      </c>
      <c r="K83" s="13" t="n"/>
      <c r="L83" s="13" t="inlineStr">
        <is>
          <t>Instrumental - Violin</t>
        </is>
      </c>
      <c r="M83" s="13" t="inlineStr">
        <is>
          <t>test</t>
        </is>
      </c>
      <c r="N83" s="13" t="n"/>
    </row>
    <row r="84" ht="15" customHeight="1">
      <c r="A84" s="13" t="inlineStr">
        <is>
          <t>PAABD6E8</t>
        </is>
      </c>
      <c r="B84" s="13">
        <f>VLOOKUP(A84,Table1[[#All],[Participant ID]:[Persona]],7,0)</f>
        <v/>
      </c>
      <c r="C84" s="15" t="inlineStr">
        <is>
          <t>2026-04-06T10:57:57</t>
        </is>
      </c>
      <c r="D84" s="13" t="inlineStr">
        <is>
          <t>L01</t>
        </is>
      </c>
      <c r="E84" s="13" t="inlineStr">
        <is>
          <t>Chakkani_Raja_seg0058-finetuned_20s</t>
        </is>
      </c>
      <c r="F84" s="13" t="inlineStr">
        <is>
          <t>audio/likert/Chakkani_Raja_seg0058-finetuned_20s.wav</t>
        </is>
      </c>
      <c r="G84" s="13" t="n">
        <v>5</v>
      </c>
      <c r="H84" s="13" t="n">
        <v>4</v>
      </c>
      <c r="I84" s="13" t="n">
        <v>4</v>
      </c>
      <c r="J84" s="13" t="n">
        <v>4</v>
      </c>
      <c r="K84" s="13" t="n"/>
      <c r="L84" s="13" t="inlineStr">
        <is>
          <t>Vocal</t>
        </is>
      </c>
      <c r="M84" s="13" t="inlineStr">
        <is>
          <t>test</t>
        </is>
      </c>
      <c r="N84" s="13" t="n"/>
    </row>
    <row r="85" ht="15" customHeight="1">
      <c r="A85" s="13" t="inlineStr">
        <is>
          <t>PAABD6E8</t>
        </is>
      </c>
      <c r="B85" s="13">
        <f>VLOOKUP(A85,Table1[[#All],[Participant ID]:[Persona]],7,0)</f>
        <v/>
      </c>
      <c r="C85" s="15" t="inlineStr">
        <is>
          <t>2026-04-06T10:57:57</t>
        </is>
      </c>
      <c r="D85" s="13" t="inlineStr">
        <is>
          <t>L02</t>
        </is>
      </c>
      <c r="E85" s="13" t="inlineStr">
        <is>
          <t>Chakkani_Raja_seg0200-finetuned_20s</t>
        </is>
      </c>
      <c r="F85" s="13" t="inlineStr">
        <is>
          <t>audio/likert/Chakkani_Raja_seg0200-finetuned_20s.wav</t>
        </is>
      </c>
      <c r="G85" s="13" t="n">
        <v>6</v>
      </c>
      <c r="H85" s="13" t="n">
        <v>4</v>
      </c>
      <c r="I85" s="13" t="n">
        <v>4</v>
      </c>
      <c r="J85" s="13" t="n">
        <v>4</v>
      </c>
      <c r="K85" s="13" t="n"/>
      <c r="L85" s="13" t="inlineStr">
        <is>
          <t>Instrumental - Violin</t>
        </is>
      </c>
      <c r="M85" s="13" t="inlineStr">
        <is>
          <t>test</t>
        </is>
      </c>
      <c r="N85" s="13" t="n"/>
    </row>
    <row r="86" ht="15" customHeight="1">
      <c r="A86" s="13" t="inlineStr">
        <is>
          <t>PACED268</t>
        </is>
      </c>
      <c r="B86" s="13">
        <f>VLOOKUP(A86,Table1[[#All],[Participant ID]:[Persona]],7,0)</f>
        <v/>
      </c>
      <c r="C86" s="15" t="inlineStr">
        <is>
          <t>2026-04-06T11:58:58</t>
        </is>
      </c>
      <c r="D86" s="13" t="inlineStr">
        <is>
          <t>L04</t>
        </is>
      </c>
      <c r="E86" s="13" t="inlineStr">
        <is>
          <t>Ramanatham_Bhajeham_seg0195-finetuned_20s</t>
        </is>
      </c>
      <c r="F86" s="13" t="inlineStr">
        <is>
          <t>audio/likert/Ramanatham_Bhajeham_seg0195-finetuned_20s.wav</t>
        </is>
      </c>
      <c r="G86" s="13" t="n">
        <v>1</v>
      </c>
      <c r="H86" s="13" t="n">
        <v>4</v>
      </c>
      <c r="I86" s="13" t="n">
        <v>3</v>
      </c>
      <c r="J86" s="13" t="n">
        <v>4</v>
      </c>
      <c r="K86" s="13" t="n"/>
      <c r="L86" s="13" t="inlineStr">
        <is>
          <t>Instrumental - Percussion</t>
        </is>
      </c>
      <c r="M86" s="13" t="inlineStr">
        <is>
          <t>test</t>
        </is>
      </c>
      <c r="N86" s="13" t="n"/>
    </row>
    <row r="87" ht="15" customHeight="1">
      <c r="A87" s="13" t="inlineStr">
        <is>
          <t>PACED268</t>
        </is>
      </c>
      <c r="B87" s="13">
        <f>VLOOKUP(A87,Table1[[#All],[Participant ID]:[Persona]],7,0)</f>
        <v/>
      </c>
      <c r="C87" s="15" t="inlineStr">
        <is>
          <t>2026-04-06T11:58:58</t>
        </is>
      </c>
      <c r="D87" s="13" t="inlineStr">
        <is>
          <t>L05</t>
        </is>
      </c>
      <c r="E87" s="13" t="inlineStr">
        <is>
          <t>Seshachala_Nayakam_seg0142-finetuned_20s</t>
        </is>
      </c>
      <c r="F87" s="13" t="inlineStr">
        <is>
          <t>audio/likert/Seshachala_Nayakam_seg0142-finetuned_20s.wav</t>
        </is>
      </c>
      <c r="G87" s="13" t="n">
        <v>2</v>
      </c>
      <c r="H87" s="13" t="n">
        <v>3</v>
      </c>
      <c r="I87" s="13" t="n">
        <v>2</v>
      </c>
      <c r="J87" s="13" t="n">
        <v>4</v>
      </c>
      <c r="K87" s="13" t="n"/>
      <c r="L87" s="13" t="inlineStr">
        <is>
          <t>Instrumental - Violin</t>
        </is>
      </c>
      <c r="M87" s="13" t="inlineStr">
        <is>
          <t>test</t>
        </is>
      </c>
      <c r="N87" s="13" t="n"/>
    </row>
    <row r="88" ht="15" customHeight="1">
      <c r="A88" s="13" t="inlineStr">
        <is>
          <t>PACED268</t>
        </is>
      </c>
      <c r="B88" s="13">
        <f>VLOOKUP(A88,Table1[[#All],[Participant ID]:[Persona]],7,0)</f>
        <v/>
      </c>
      <c r="C88" s="15" t="inlineStr">
        <is>
          <t>2026-04-06T11:58:58</t>
        </is>
      </c>
      <c r="D88" s="13" t="inlineStr">
        <is>
          <t>L06</t>
        </is>
      </c>
      <c r="E88" s="13" t="inlineStr">
        <is>
          <t>Vizhikkuttunai_seg0041-finetuned_20s</t>
        </is>
      </c>
      <c r="F88" s="13" t="inlineStr">
        <is>
          <t>audio/likert/Vizhikkuttunai_seg0041-finetuned_20s.wav</t>
        </is>
      </c>
      <c r="G88" s="13" t="n">
        <v>3</v>
      </c>
      <c r="H88" s="13" t="n">
        <v>3</v>
      </c>
      <c r="I88" s="13" t="n">
        <v>3</v>
      </c>
      <c r="J88" s="13" t="n">
        <v>4</v>
      </c>
      <c r="K88" s="13" t="n"/>
      <c r="L88" s="13" t="inlineStr">
        <is>
          <t>Vocal</t>
        </is>
      </c>
      <c r="M88" s="13" t="inlineStr">
        <is>
          <t>test</t>
        </is>
      </c>
      <c r="N88" s="13" t="n"/>
    </row>
    <row r="89" ht="15" customHeight="1">
      <c r="A89" s="13" t="inlineStr">
        <is>
          <t>PACED268</t>
        </is>
      </c>
      <c r="B89" s="13">
        <f>VLOOKUP(A89,Table1[[#All],[Participant ID]:[Persona]],7,0)</f>
        <v/>
      </c>
      <c r="C89" s="15" t="inlineStr">
        <is>
          <t>2026-04-06T11:58:58</t>
        </is>
      </c>
      <c r="D89" s="13" t="inlineStr">
        <is>
          <t>L01</t>
        </is>
      </c>
      <c r="E89" s="13" t="inlineStr">
        <is>
          <t>Chakkani_Raja_seg0058-finetuned_20s</t>
        </is>
      </c>
      <c r="F89" s="13" t="inlineStr">
        <is>
          <t>audio/likert/Chakkani_Raja_seg0058-finetuned_20s.wav</t>
        </is>
      </c>
      <c r="G89" s="13" t="n">
        <v>4</v>
      </c>
      <c r="H89" s="13" t="n">
        <v>3</v>
      </c>
      <c r="I89" s="13" t="n">
        <v>3</v>
      </c>
      <c r="J89" s="13" t="n">
        <v>4</v>
      </c>
      <c r="K89" s="13" t="n"/>
      <c r="L89" s="13" t="inlineStr">
        <is>
          <t>Vocal</t>
        </is>
      </c>
      <c r="M89" s="13" t="inlineStr">
        <is>
          <t>test</t>
        </is>
      </c>
      <c r="N89" s="13" t="n"/>
    </row>
    <row r="90" ht="15" customHeight="1">
      <c r="A90" s="13" t="inlineStr">
        <is>
          <t>PACED268</t>
        </is>
      </c>
      <c r="B90" s="13">
        <f>VLOOKUP(A90,Table1[[#All],[Participant ID]:[Persona]],7,0)</f>
        <v/>
      </c>
      <c r="C90" s="15" t="inlineStr">
        <is>
          <t>2026-04-06T11:58:58</t>
        </is>
      </c>
      <c r="D90" s="13" t="inlineStr">
        <is>
          <t>L02</t>
        </is>
      </c>
      <c r="E90" s="13" t="inlineStr">
        <is>
          <t>Chakkani_Raja_seg0200-finetuned_20s</t>
        </is>
      </c>
      <c r="F90" s="13" t="inlineStr">
        <is>
          <t>audio/likert/Chakkani_Raja_seg0200-finetuned_20s.wav</t>
        </is>
      </c>
      <c r="G90" s="13" t="n">
        <v>5</v>
      </c>
      <c r="H90" s="13" t="n">
        <v>3</v>
      </c>
      <c r="I90" s="13" t="n">
        <v>3</v>
      </c>
      <c r="J90" s="13" t="n">
        <v>3</v>
      </c>
      <c r="K90" s="13" t="n"/>
      <c r="L90" s="13" t="inlineStr">
        <is>
          <t>Instrumental - Violin</t>
        </is>
      </c>
      <c r="M90" s="13" t="inlineStr">
        <is>
          <t>test</t>
        </is>
      </c>
      <c r="N90" s="13" t="n"/>
    </row>
    <row r="91" ht="15" customHeight="1">
      <c r="A91" s="13" t="inlineStr">
        <is>
          <t>PACED268</t>
        </is>
      </c>
      <c r="B91" s="13">
        <f>VLOOKUP(A91,Table1[[#All],[Participant ID]:[Persona]],7,0)</f>
        <v/>
      </c>
      <c r="C91" s="15" t="inlineStr">
        <is>
          <t>2026-04-06T11:58:58</t>
        </is>
      </c>
      <c r="D91" s="13" t="inlineStr">
        <is>
          <t>L03</t>
        </is>
      </c>
      <c r="E91" s="13" t="inlineStr">
        <is>
          <t>Nannupalimpa_seg0044-finetuned_20s</t>
        </is>
      </c>
      <c r="F91" s="13" t="inlineStr">
        <is>
          <t>audio/likert/Nannupalimpa_seg0044-finetuned_20s.wav</t>
        </is>
      </c>
      <c r="G91" s="13" t="n">
        <v>6</v>
      </c>
      <c r="H91" s="13" t="n">
        <v>3</v>
      </c>
      <c r="I91" s="13" t="n">
        <v>3</v>
      </c>
      <c r="J91" s="13" t="n">
        <v>3</v>
      </c>
      <c r="K91" s="13" t="n"/>
      <c r="L91" s="13" t="inlineStr">
        <is>
          <t>Vocal</t>
        </is>
      </c>
      <c r="M91" s="13" t="inlineStr">
        <is>
          <t>test</t>
        </is>
      </c>
      <c r="N91" s="13" t="n"/>
    </row>
    <row r="92" ht="15" customHeight="1">
      <c r="A92" s="13" t="inlineStr">
        <is>
          <t>PAB9BE11</t>
        </is>
      </c>
      <c r="B92" s="13">
        <f>VLOOKUP(A92,Table1[[#All],[Participant ID]:[Persona]],7,0)</f>
        <v/>
      </c>
      <c r="C92" s="15" t="inlineStr">
        <is>
          <t>2026-04-06T13:24:36</t>
        </is>
      </c>
      <c r="D92" s="13" t="inlineStr">
        <is>
          <t>L05</t>
        </is>
      </c>
      <c r="E92" s="13" t="inlineStr">
        <is>
          <t>Seshachala_Nayakam_seg0142-finetuned_20s</t>
        </is>
      </c>
      <c r="F92" s="13" t="inlineStr">
        <is>
          <t>audio/likert/Seshachala_Nayakam_seg0142-finetuned_20s.wav</t>
        </is>
      </c>
      <c r="G92" s="13" t="n">
        <v>1</v>
      </c>
      <c r="H92" s="13" t="n">
        <v>5</v>
      </c>
      <c r="I92" s="13" t="n">
        <v>5</v>
      </c>
      <c r="J92" s="13" t="n">
        <v>4</v>
      </c>
      <c r="K92" s="13" t="inlineStr">
        <is>
          <t>Mirudhangam volume lowered in AI version. Better if both Violin and Murudhangam continued at same level in AI transition.</t>
        </is>
      </c>
      <c r="L92" s="13" t="inlineStr">
        <is>
          <t>Instrumental - Violin</t>
        </is>
      </c>
      <c r="M92" s="13" t="inlineStr">
        <is>
          <t>test</t>
        </is>
      </c>
      <c r="N92" s="13" t="n"/>
    </row>
    <row r="93" ht="15" customHeight="1">
      <c r="A93" s="13" t="inlineStr">
        <is>
          <t>PAB9BE11</t>
        </is>
      </c>
      <c r="B93" s="13">
        <f>VLOOKUP(A93,Table1[[#All],[Participant ID]:[Persona]],7,0)</f>
        <v/>
      </c>
      <c r="C93" s="15" t="inlineStr">
        <is>
          <t>2026-04-06T13:24:36</t>
        </is>
      </c>
      <c r="D93" s="13" t="inlineStr">
        <is>
          <t>L02</t>
        </is>
      </c>
      <c r="E93" s="13" t="inlineStr">
        <is>
          <t>Chakkani_Raja_seg0200-finetuned_20s</t>
        </is>
      </c>
      <c r="F93" s="13" t="inlineStr">
        <is>
          <t>audio/likert/Chakkani_Raja_seg0200-finetuned_20s.wav</t>
        </is>
      </c>
      <c r="G93" s="13" t="n">
        <v>2</v>
      </c>
      <c r="H93" s="13" t="n">
        <v>5</v>
      </c>
      <c r="I93" s="13" t="n">
        <v>4</v>
      </c>
      <c r="J93" s="13" t="n">
        <v>5</v>
      </c>
      <c r="K93" s="13" t="inlineStr">
        <is>
          <t>May be this is stage performance sample. If audience noise (hissy background sound) continued in AI bit, it would add flavor.</t>
        </is>
      </c>
      <c r="L93" s="13" t="inlineStr">
        <is>
          <t>Instrumental - Violin</t>
        </is>
      </c>
      <c r="M93" s="13" t="inlineStr">
        <is>
          <t>test</t>
        </is>
      </c>
      <c r="N93" s="13" t="n"/>
    </row>
    <row r="94" ht="15" customHeight="1">
      <c r="A94" s="13" t="inlineStr">
        <is>
          <t>PAB9BE11</t>
        </is>
      </c>
      <c r="B94" s="13">
        <f>VLOOKUP(A94,Table1[[#All],[Participant ID]:[Persona]],7,0)</f>
        <v/>
      </c>
      <c r="C94" s="15" t="inlineStr">
        <is>
          <t>2026-04-06T13:24:36</t>
        </is>
      </c>
      <c r="D94" s="13" t="inlineStr">
        <is>
          <t>L03</t>
        </is>
      </c>
      <c r="E94" s="13" t="inlineStr">
        <is>
          <t>Nannupalimpa_seg0044-finetuned_20s</t>
        </is>
      </c>
      <c r="F94" s="13" t="inlineStr">
        <is>
          <t>audio/likert/Nannupalimpa_seg0044-finetuned_20s.wav</t>
        </is>
      </c>
      <c r="G94" s="13" t="n">
        <v>3</v>
      </c>
      <c r="H94" s="13" t="n">
        <v>5</v>
      </c>
      <c r="I94" s="13" t="n">
        <v>5</v>
      </c>
      <c r="J94" s="13" t="n">
        <v>5</v>
      </c>
      <c r="K94" s="13" t="inlineStr">
        <is>
          <t>Kamakam rendering is natural.</t>
        </is>
      </c>
      <c r="L94" s="13" t="inlineStr">
        <is>
          <t>Vocal</t>
        </is>
      </c>
      <c r="M94" s="13" t="inlineStr">
        <is>
          <t>test</t>
        </is>
      </c>
      <c r="N94" s="13" t="n"/>
    </row>
    <row r="95" ht="15" customHeight="1">
      <c r="A95" s="13" t="inlineStr">
        <is>
          <t>PAB9BE11</t>
        </is>
      </c>
      <c r="B95" s="13">
        <f>VLOOKUP(A95,Table1[[#All],[Participant ID]:[Persona]],7,0)</f>
        <v/>
      </c>
      <c r="C95" s="15" t="inlineStr">
        <is>
          <t>2026-04-06T13:24:36</t>
        </is>
      </c>
      <c r="D95" s="13" t="inlineStr">
        <is>
          <t>L06</t>
        </is>
      </c>
      <c r="E95" s="13" t="inlineStr">
        <is>
          <t>Vizhikkuttunai_seg0041-finetuned_20s</t>
        </is>
      </c>
      <c r="F95" s="13" t="inlineStr">
        <is>
          <t>audio/likert/Vizhikkuttunai_seg0041-finetuned_20s.wav</t>
        </is>
      </c>
      <c r="G95" s="13" t="n">
        <v>4</v>
      </c>
      <c r="H95" s="13" t="n">
        <v>5</v>
      </c>
      <c r="I95" s="13" t="n">
        <v>5</v>
      </c>
      <c r="J95" s="13" t="n">
        <v>4</v>
      </c>
      <c r="K95" s="13" t="inlineStr">
        <is>
          <t xml:space="preserve">Voice transitioned as dual singers in AI. </t>
        </is>
      </c>
      <c r="L95" s="13" t="inlineStr">
        <is>
          <t>Vocal</t>
        </is>
      </c>
      <c r="M95" s="13" t="inlineStr">
        <is>
          <t>test</t>
        </is>
      </c>
      <c r="N95" s="13" t="n"/>
    </row>
    <row r="96" ht="15" customHeight="1">
      <c r="A96" s="13" t="inlineStr">
        <is>
          <t>PAB9BE11</t>
        </is>
      </c>
      <c r="B96" s="13">
        <f>VLOOKUP(A96,Table1[[#All],[Participant ID]:[Persona]],7,0)</f>
        <v/>
      </c>
      <c r="C96" s="15" t="inlineStr">
        <is>
          <t>2026-04-06T13:24:36</t>
        </is>
      </c>
      <c r="D96" s="13" t="inlineStr">
        <is>
          <t>L01</t>
        </is>
      </c>
      <c r="E96" s="13" t="inlineStr">
        <is>
          <t>Chakkani_Raja_seg0058-finetuned_20s</t>
        </is>
      </c>
      <c r="F96" s="13" t="inlineStr">
        <is>
          <t>audio/likert/Chakkani_Raja_seg0058-finetuned_20s.wav</t>
        </is>
      </c>
      <c r="G96" s="13" t="n">
        <v>5</v>
      </c>
      <c r="H96" s="13" t="n">
        <v>5</v>
      </c>
      <c r="I96" s="13" t="n">
        <v>5</v>
      </c>
      <c r="J96" s="13" t="n">
        <v>5</v>
      </c>
      <c r="K96" s="13" t="inlineStr">
        <is>
          <t>Very negligible transition note felt at 11th second. Otherwise cool.</t>
        </is>
      </c>
      <c r="L96" s="13" t="inlineStr">
        <is>
          <t>Vocal</t>
        </is>
      </c>
      <c r="M96" s="13" t="inlineStr">
        <is>
          <t>test</t>
        </is>
      </c>
      <c r="N96" s="13" t="n"/>
    </row>
    <row r="97" ht="15" customHeight="1">
      <c r="A97" s="13" t="inlineStr">
        <is>
          <t>PAB9BE11</t>
        </is>
      </c>
      <c r="B97" s="13">
        <f>VLOOKUP(A97,Table1[[#All],[Participant ID]:[Persona]],7,0)</f>
        <v/>
      </c>
      <c r="C97" s="15" t="inlineStr">
        <is>
          <t>2026-04-06T13:24:36</t>
        </is>
      </c>
      <c r="D97" s="13" t="inlineStr">
        <is>
          <t>L04</t>
        </is>
      </c>
      <c r="E97" s="13" t="inlineStr">
        <is>
          <t>Ramanatham_Bhajeham_seg0195-finetuned_20s</t>
        </is>
      </c>
      <c r="F97" s="13" t="inlineStr">
        <is>
          <t>audio/likert/Ramanatham_Bhajeham_seg0195-finetuned_20s.wav</t>
        </is>
      </c>
      <c r="G97" s="13" t="n">
        <v>6</v>
      </c>
      <c r="H97" s="13" t="n">
        <v>5</v>
      </c>
      <c r="I97" s="13" t="n">
        <v>5</v>
      </c>
      <c r="J97" s="13" t="n">
        <v>3</v>
      </c>
      <c r="K97" s="13" t="inlineStr">
        <is>
          <t>At 18th second while taking voice after pakkavadhiyam, requires clarity.</t>
        </is>
      </c>
      <c r="L97" s="13" t="inlineStr">
        <is>
          <t>Instrumental - Percussion</t>
        </is>
      </c>
      <c r="M97" s="13" t="inlineStr">
        <is>
          <t>test</t>
        </is>
      </c>
      <c r="N97" s="13" t="n"/>
    </row>
    <row r="98" ht="15" customHeight="1">
      <c r="A98" s="13" t="inlineStr">
        <is>
          <t>PA6DF52A</t>
        </is>
      </c>
      <c r="B98" s="13">
        <f>VLOOKUP(A98,Table1[[#All],[Participant ID]:[Persona]],7,0)</f>
        <v/>
      </c>
      <c r="C98" s="15" t="inlineStr">
        <is>
          <t>2026-04-06T15:51:07</t>
        </is>
      </c>
      <c r="D98" s="13" t="inlineStr">
        <is>
          <t>L02</t>
        </is>
      </c>
      <c r="E98" s="13" t="inlineStr">
        <is>
          <t>Chakkani_Raja_seg0200-finetuned_20s</t>
        </is>
      </c>
      <c r="F98" s="13" t="inlineStr">
        <is>
          <t>audio/likert/Chakkani_Raja_seg0200-finetuned_20s.wav</t>
        </is>
      </c>
      <c r="G98" s="13" t="n">
        <v>1</v>
      </c>
      <c r="H98" s="13" t="n">
        <v>2</v>
      </c>
      <c r="I98" s="13" t="n">
        <v>2</v>
      </c>
      <c r="J98" s="13" t="n">
        <v>2</v>
      </c>
      <c r="K98" s="13" t="n"/>
      <c r="L98" s="13" t="inlineStr">
        <is>
          <t>Instrumental - Violin</t>
        </is>
      </c>
      <c r="M98" s="13" t="inlineStr">
        <is>
          <t>test</t>
        </is>
      </c>
      <c r="N98" s="13" t="n"/>
    </row>
    <row r="99" ht="15" customHeight="1">
      <c r="A99" s="13" t="inlineStr">
        <is>
          <t>PA6DF52A</t>
        </is>
      </c>
      <c r="B99" s="13">
        <f>VLOOKUP(A99,Table1[[#All],[Participant ID]:[Persona]],7,0)</f>
        <v/>
      </c>
      <c r="C99" s="15" t="inlineStr">
        <is>
          <t>2026-04-06T15:51:07</t>
        </is>
      </c>
      <c r="D99" s="13" t="inlineStr">
        <is>
          <t>L04</t>
        </is>
      </c>
      <c r="E99" s="13" t="inlineStr">
        <is>
          <t>Ramanatham_Bhajeham_seg0195-finetuned_20s</t>
        </is>
      </c>
      <c r="F99" s="13" t="inlineStr">
        <is>
          <t>audio/likert/Ramanatham_Bhajeham_seg0195-finetuned_20s.wav</t>
        </is>
      </c>
      <c r="G99" s="13" t="n">
        <v>2</v>
      </c>
      <c r="H99" s="13" t="n">
        <v>4</v>
      </c>
      <c r="I99" s="13" t="n">
        <v>4</v>
      </c>
      <c r="J99" s="13" t="n">
        <v>2</v>
      </c>
      <c r="K99" s="13" t="n"/>
      <c r="L99" s="13" t="inlineStr">
        <is>
          <t>Instrumental - Percussion</t>
        </is>
      </c>
      <c r="M99" s="13" t="inlineStr">
        <is>
          <t>test</t>
        </is>
      </c>
      <c r="N99" s="13" t="n"/>
    </row>
    <row r="100" ht="15" customHeight="1">
      <c r="A100" s="13" t="inlineStr">
        <is>
          <t>PA6DF52A</t>
        </is>
      </c>
      <c r="B100" s="13">
        <f>VLOOKUP(A100,Table1[[#All],[Participant ID]:[Persona]],7,0)</f>
        <v/>
      </c>
      <c r="C100" s="15" t="inlineStr">
        <is>
          <t>2026-04-06T15:51:07</t>
        </is>
      </c>
      <c r="D100" s="13" t="inlineStr">
        <is>
          <t>L06</t>
        </is>
      </c>
      <c r="E100" s="13" t="inlineStr">
        <is>
          <t>Vizhikkuttunai_seg0041-finetuned_20s</t>
        </is>
      </c>
      <c r="F100" s="13" t="inlineStr">
        <is>
          <t>audio/likert/Vizhikkuttunai_seg0041-finetuned_20s.wav</t>
        </is>
      </c>
      <c r="G100" s="13" t="n">
        <v>3</v>
      </c>
      <c r="H100" s="13" t="n">
        <v>3</v>
      </c>
      <c r="I100" s="13" t="n">
        <v>3</v>
      </c>
      <c r="J100" s="13" t="n">
        <v>4</v>
      </c>
      <c r="K100" s="13" t="n"/>
      <c r="L100" s="13" t="inlineStr">
        <is>
          <t>Vocal</t>
        </is>
      </c>
      <c r="M100" s="13" t="inlineStr">
        <is>
          <t>test</t>
        </is>
      </c>
      <c r="N100" s="13" t="n"/>
    </row>
    <row r="101" ht="15" customHeight="1">
      <c r="A101" s="13" t="inlineStr">
        <is>
          <t>PA6DF52A</t>
        </is>
      </c>
      <c r="B101" s="13">
        <f>VLOOKUP(A101,Table1[[#All],[Participant ID]:[Persona]],7,0)</f>
        <v/>
      </c>
      <c r="C101" s="15" t="inlineStr">
        <is>
          <t>2026-04-06T15:51:07</t>
        </is>
      </c>
      <c r="D101" s="13" t="inlineStr">
        <is>
          <t>L03</t>
        </is>
      </c>
      <c r="E101" s="13" t="inlineStr">
        <is>
          <t>Nannupalimpa_seg0044-finetuned_20s</t>
        </is>
      </c>
      <c r="F101" s="13" t="inlineStr">
        <is>
          <t>audio/likert/Nannupalimpa_seg0044-finetuned_20s.wav</t>
        </is>
      </c>
      <c r="G101" s="13" t="n">
        <v>4</v>
      </c>
      <c r="H101" s="13" t="n">
        <v>2</v>
      </c>
      <c r="I101" s="13" t="n">
        <v>3</v>
      </c>
      <c r="J101" s="13" t="n">
        <v>3</v>
      </c>
      <c r="K101" s="13" t="n"/>
      <c r="L101" s="13" t="inlineStr">
        <is>
          <t>Vocal</t>
        </is>
      </c>
      <c r="M101" s="13" t="inlineStr">
        <is>
          <t>test</t>
        </is>
      </c>
      <c r="N101" s="13" t="n"/>
    </row>
    <row r="102" ht="15" customHeight="1">
      <c r="A102" s="13" t="inlineStr">
        <is>
          <t>PA6DF52A</t>
        </is>
      </c>
      <c r="B102" s="13">
        <f>VLOOKUP(A102,Table1[[#All],[Participant ID]:[Persona]],7,0)</f>
        <v/>
      </c>
      <c r="C102" s="15" t="inlineStr">
        <is>
          <t>2026-04-06T15:51:07</t>
        </is>
      </c>
      <c r="D102" s="13" t="inlineStr">
        <is>
          <t>L05</t>
        </is>
      </c>
      <c r="E102" s="13" t="inlineStr">
        <is>
          <t>Seshachala_Nayakam_seg0142-finetuned_20s</t>
        </is>
      </c>
      <c r="F102" s="13" t="inlineStr">
        <is>
          <t>audio/likert/Seshachala_Nayakam_seg0142-finetuned_20s.wav</t>
        </is>
      </c>
      <c r="G102" s="13" t="n">
        <v>5</v>
      </c>
      <c r="H102" s="13" t="n">
        <v>5</v>
      </c>
      <c r="I102" s="13" t="n">
        <v>4</v>
      </c>
      <c r="J102" s="13" t="n">
        <v>4</v>
      </c>
      <c r="K102" s="13" t="n"/>
      <c r="L102" s="13" t="inlineStr">
        <is>
          <t>Instrumental - Violin</t>
        </is>
      </c>
      <c r="M102" s="13" t="inlineStr">
        <is>
          <t>test</t>
        </is>
      </c>
      <c r="N102" s="13" t="n"/>
    </row>
    <row r="103" ht="15" customHeight="1">
      <c r="A103" s="13" t="inlineStr">
        <is>
          <t>PA6DF52A</t>
        </is>
      </c>
      <c r="B103" s="13">
        <f>VLOOKUP(A103,Table1[[#All],[Participant ID]:[Persona]],7,0)</f>
        <v/>
      </c>
      <c r="C103" s="15" t="inlineStr">
        <is>
          <t>2026-04-06T15:51:07</t>
        </is>
      </c>
      <c r="D103" s="13" t="inlineStr">
        <is>
          <t>L01</t>
        </is>
      </c>
      <c r="E103" s="13" t="inlineStr">
        <is>
          <t>Chakkani_Raja_seg0058-finetuned_20s</t>
        </is>
      </c>
      <c r="F103" s="13" t="inlineStr">
        <is>
          <t>audio/likert/Chakkani_Raja_seg0058-finetuned_20s.wav</t>
        </is>
      </c>
      <c r="G103" s="13" t="n">
        <v>6</v>
      </c>
      <c r="H103" s="13" t="n">
        <v>3</v>
      </c>
      <c r="I103" s="13" t="n">
        <v>3</v>
      </c>
      <c r="J103" s="13" t="n">
        <v>3</v>
      </c>
      <c r="K103" s="13" t="n"/>
      <c r="L103" s="13" t="inlineStr">
        <is>
          <t>Vocal</t>
        </is>
      </c>
      <c r="M103" s="13" t="inlineStr">
        <is>
          <t>test</t>
        </is>
      </c>
      <c r="N103" s="13" t="n"/>
    </row>
    <row r="104" ht="15" customHeight="1">
      <c r="A104" s="13" t="inlineStr">
        <is>
          <t>PABCC288</t>
        </is>
      </c>
      <c r="B104" s="13">
        <f>VLOOKUP(A104,Table1[[#All],[Participant ID]:[Persona]],7,0)</f>
        <v/>
      </c>
      <c r="C104" s="15" t="inlineStr">
        <is>
          <t>2026-04-06T17:11:45</t>
        </is>
      </c>
      <c r="D104" s="13" t="inlineStr">
        <is>
          <t>L03</t>
        </is>
      </c>
      <c r="E104" s="13" t="inlineStr">
        <is>
          <t>Nannupalimpa_seg0044-finetuned_20s</t>
        </is>
      </c>
      <c r="F104" s="13" t="inlineStr">
        <is>
          <t>audio/likert/Nannupalimpa_seg0044-finetuned_20s.wav</t>
        </is>
      </c>
      <c r="G104" s="13" t="n">
        <v>1</v>
      </c>
      <c r="H104" s="13" t="n">
        <v>2</v>
      </c>
      <c r="I104" s="13" t="n">
        <v>2</v>
      </c>
      <c r="J104" s="13" t="n">
        <v>4</v>
      </c>
      <c r="K104" s="13" t="inlineStr">
        <is>
          <t xml:space="preserve">It follows the same style.. but feeling like it switches to next high pitch soon without giving a gap . Normal people cannot do it that spontaneously </t>
        </is>
      </c>
      <c r="L104" s="13" t="inlineStr">
        <is>
          <t>Vocal</t>
        </is>
      </c>
      <c r="M104" s="13" t="inlineStr">
        <is>
          <t>test</t>
        </is>
      </c>
      <c r="N104" s="13" t="n"/>
    </row>
    <row r="105" ht="15" customHeight="1">
      <c r="A105" s="13" t="inlineStr">
        <is>
          <t>PABCC288</t>
        </is>
      </c>
      <c r="B105" s="13">
        <f>VLOOKUP(A105,Table1[[#All],[Participant ID]:[Persona]],7,0)</f>
        <v/>
      </c>
      <c r="C105" s="15" t="inlineStr">
        <is>
          <t>2026-04-06T17:11:45</t>
        </is>
      </c>
      <c r="D105" s="13" t="inlineStr">
        <is>
          <t>L06</t>
        </is>
      </c>
      <c r="E105" s="13" t="inlineStr">
        <is>
          <t>Vizhikkuttunai_seg0041-finetuned_20s</t>
        </is>
      </c>
      <c r="F105" s="13" t="inlineStr">
        <is>
          <t>audio/likert/Vizhikkuttunai_seg0041-finetuned_20s.wav</t>
        </is>
      </c>
      <c r="G105" s="13" t="n">
        <v>2</v>
      </c>
      <c r="H105" s="13" t="n">
        <v>2</v>
      </c>
      <c r="I105" s="13" t="n">
        <v>2</v>
      </c>
      <c r="J105" s="13" t="n">
        <v>4</v>
      </c>
      <c r="K105" s="13" t="n"/>
      <c r="L105" s="13" t="inlineStr">
        <is>
          <t>Vocal</t>
        </is>
      </c>
      <c r="M105" s="13" t="inlineStr">
        <is>
          <t>test</t>
        </is>
      </c>
      <c r="N105" s="13" t="n"/>
    </row>
    <row r="106" ht="15" customHeight="1">
      <c r="A106" s="13" t="inlineStr">
        <is>
          <t>PABCC288</t>
        </is>
      </c>
      <c r="B106" s="13">
        <f>VLOOKUP(A106,Table1[[#All],[Participant ID]:[Persona]],7,0)</f>
        <v/>
      </c>
      <c r="C106" s="15" t="inlineStr">
        <is>
          <t>2026-04-06T17:11:45</t>
        </is>
      </c>
      <c r="D106" s="13" t="inlineStr">
        <is>
          <t>L01</t>
        </is>
      </c>
      <c r="E106" s="13" t="inlineStr">
        <is>
          <t>Chakkani_Raja_seg0058-finetuned_20s</t>
        </is>
      </c>
      <c r="F106" s="13" t="inlineStr">
        <is>
          <t>audio/likert/Chakkani_Raja_seg0058-finetuned_20s.wav</t>
        </is>
      </c>
      <c r="G106" s="13" t="n">
        <v>3</v>
      </c>
      <c r="H106" s="13" t="n">
        <v>3</v>
      </c>
      <c r="I106" s="13" t="n">
        <v>3</v>
      </c>
      <c r="J106" s="13" t="n">
        <v>4</v>
      </c>
      <c r="K106" s="13" t="n"/>
      <c r="L106" s="13" t="inlineStr">
        <is>
          <t>Vocal</t>
        </is>
      </c>
      <c r="M106" s="13" t="inlineStr">
        <is>
          <t>test</t>
        </is>
      </c>
      <c r="N106" s="13" t="n"/>
    </row>
    <row r="107" ht="15" customHeight="1">
      <c r="A107" s="13" t="inlineStr">
        <is>
          <t>PABCC288</t>
        </is>
      </c>
      <c r="B107" s="13">
        <f>VLOOKUP(A107,Table1[[#All],[Participant ID]:[Persona]],7,0)</f>
        <v/>
      </c>
      <c r="C107" s="15" t="inlineStr">
        <is>
          <t>2026-04-06T17:11:45</t>
        </is>
      </c>
      <c r="D107" s="13" t="inlineStr">
        <is>
          <t>L04</t>
        </is>
      </c>
      <c r="E107" s="13" t="inlineStr">
        <is>
          <t>Ramanatham_Bhajeham_seg0195-finetuned_20s</t>
        </is>
      </c>
      <c r="F107" s="13" t="inlineStr">
        <is>
          <t>audio/likert/Ramanatham_Bhajeham_seg0195-finetuned_20s.wav</t>
        </is>
      </c>
      <c r="G107" s="13" t="n">
        <v>4</v>
      </c>
      <c r="H107" s="13" t="n">
        <v>3</v>
      </c>
      <c r="I107" s="13" t="n">
        <v>3</v>
      </c>
      <c r="J107" s="13" t="n">
        <v>4</v>
      </c>
      <c r="K107" s="13" t="inlineStr">
        <is>
          <t xml:space="preserve">Sundar, I think without voice it is doing better, but it switches to the next sound faster usually.. </t>
        </is>
      </c>
      <c r="L107" s="13" t="inlineStr">
        <is>
          <t>Instrumental - Percussion</t>
        </is>
      </c>
      <c r="M107" s="13" t="inlineStr">
        <is>
          <t>test</t>
        </is>
      </c>
      <c r="N107" s="13" t="n"/>
    </row>
    <row r="108" ht="15" customHeight="1">
      <c r="A108" s="13" t="inlineStr">
        <is>
          <t>PABCC288</t>
        </is>
      </c>
      <c r="B108" s="13">
        <f>VLOOKUP(A108,Table1[[#All],[Participant ID]:[Persona]],7,0)</f>
        <v/>
      </c>
      <c r="C108" s="15" t="inlineStr">
        <is>
          <t>2026-04-06T17:11:45</t>
        </is>
      </c>
      <c r="D108" s="13" t="inlineStr">
        <is>
          <t>L02</t>
        </is>
      </c>
      <c r="E108" s="13" t="inlineStr">
        <is>
          <t>Chakkani_Raja_seg0200-finetuned_20s</t>
        </is>
      </c>
      <c r="F108" s="13" t="inlineStr">
        <is>
          <t>audio/likert/Chakkani_Raja_seg0200-finetuned_20s.wav</t>
        </is>
      </c>
      <c r="G108" s="13" t="n">
        <v>5</v>
      </c>
      <c r="H108" s="13" t="n">
        <v>3</v>
      </c>
      <c r="I108" s="13" t="n">
        <v>3</v>
      </c>
      <c r="J108" s="13" t="n">
        <v>4</v>
      </c>
      <c r="K108" s="13" t="n"/>
      <c r="L108" s="13" t="inlineStr">
        <is>
          <t>Instrumental - Violin</t>
        </is>
      </c>
      <c r="M108" s="13" t="inlineStr">
        <is>
          <t>test</t>
        </is>
      </c>
      <c r="N108" s="13" t="n"/>
    </row>
    <row r="109" ht="15" customHeight="1">
      <c r="A109" s="13" t="inlineStr">
        <is>
          <t>PABCC288</t>
        </is>
      </c>
      <c r="B109" s="13">
        <f>VLOOKUP(A109,Table1[[#All],[Participant ID]:[Persona]],7,0)</f>
        <v/>
      </c>
      <c r="C109" s="15" t="inlineStr">
        <is>
          <t>2026-04-06T17:11:45</t>
        </is>
      </c>
      <c r="D109" s="13" t="inlineStr">
        <is>
          <t>L05</t>
        </is>
      </c>
      <c r="E109" s="13" t="inlineStr">
        <is>
          <t>Seshachala_Nayakam_seg0142-finetuned_20s</t>
        </is>
      </c>
      <c r="F109" s="13" t="inlineStr">
        <is>
          <t>audio/likert/Seshachala_Nayakam_seg0142-finetuned_20s.wav</t>
        </is>
      </c>
      <c r="G109" s="13" t="n">
        <v>6</v>
      </c>
      <c r="H109" s="13" t="n">
        <v>2</v>
      </c>
      <c r="I109" s="13" t="n">
        <v>2</v>
      </c>
      <c r="J109" s="13" t="n">
        <v>3</v>
      </c>
      <c r="K109" s="13" t="n"/>
      <c r="L109" s="13" t="inlineStr">
        <is>
          <t>Instrumental - Violin</t>
        </is>
      </c>
      <c r="M109" s="13" t="inlineStr">
        <is>
          <t>test</t>
        </is>
      </c>
      <c r="N109" s="13" t="n"/>
    </row>
    <row r="110" ht="15" customHeight="1">
      <c r="A110" s="13" t="inlineStr">
        <is>
          <t>PA564067</t>
        </is>
      </c>
      <c r="B110" s="13">
        <f>VLOOKUP(A110,Table1[[#All],[Participant ID]:[Persona]],7,0)</f>
        <v/>
      </c>
      <c r="C110" s="15" t="inlineStr">
        <is>
          <t>2026-04-07T00:07:23</t>
        </is>
      </c>
      <c r="D110" s="13" t="inlineStr">
        <is>
          <t>L03</t>
        </is>
      </c>
      <c r="E110" s="13" t="inlineStr">
        <is>
          <t>Nannupalimpa_seg0044-finetuned_20s</t>
        </is>
      </c>
      <c r="F110" s="13" t="inlineStr">
        <is>
          <t>audio/likert/Nannupalimpa_seg0044-finetuned_20s.wav</t>
        </is>
      </c>
      <c r="G110" s="13" t="n">
        <v>1</v>
      </c>
      <c r="H110" s="13" t="n">
        <v>2</v>
      </c>
      <c r="I110" s="13" t="n">
        <v>4</v>
      </c>
      <c r="J110" s="13" t="n">
        <v>4</v>
      </c>
      <c r="K110" s="13" t="n"/>
      <c r="L110" s="13" t="inlineStr">
        <is>
          <t>Vocal</t>
        </is>
      </c>
      <c r="M110" s="13" t="inlineStr">
        <is>
          <t>test</t>
        </is>
      </c>
      <c r="N110" s="13" t="n"/>
    </row>
    <row r="111" ht="15" customHeight="1">
      <c r="A111" s="13" t="inlineStr">
        <is>
          <t>PA564067</t>
        </is>
      </c>
      <c r="B111" s="13">
        <f>VLOOKUP(A111,Table1[[#All],[Participant ID]:[Persona]],7,0)</f>
        <v/>
      </c>
      <c r="C111" s="15" t="inlineStr">
        <is>
          <t>2026-04-07T00:07:23</t>
        </is>
      </c>
      <c r="D111" s="13" t="inlineStr">
        <is>
          <t>L04</t>
        </is>
      </c>
      <c r="E111" s="13" t="inlineStr">
        <is>
          <t>Ramanatham_Bhajeham_seg0195-finetuned_20s</t>
        </is>
      </c>
      <c r="F111" s="13" t="inlineStr">
        <is>
          <t>audio/likert/Ramanatham_Bhajeham_seg0195-finetuned_20s.wav</t>
        </is>
      </c>
      <c r="G111" s="13" t="n">
        <v>2</v>
      </c>
      <c r="H111" s="13" t="n">
        <v>4</v>
      </c>
      <c r="I111" s="13" t="n">
        <v>5</v>
      </c>
      <c r="J111" s="13" t="n">
        <v>4</v>
      </c>
      <c r="K111" s="13" t="n"/>
      <c r="L111" s="13" t="inlineStr">
        <is>
          <t>Instrumental - Percussion</t>
        </is>
      </c>
      <c r="M111" s="13" t="inlineStr">
        <is>
          <t>test</t>
        </is>
      </c>
      <c r="N111" s="13" t="n"/>
    </row>
    <row r="112" ht="15" customHeight="1">
      <c r="A112" s="13" t="inlineStr">
        <is>
          <t>PA564067</t>
        </is>
      </c>
      <c r="B112" s="13">
        <f>VLOOKUP(A112,Table1[[#All],[Participant ID]:[Persona]],7,0)</f>
        <v/>
      </c>
      <c r="C112" s="15" t="inlineStr">
        <is>
          <t>2026-04-07T00:07:23</t>
        </is>
      </c>
      <c r="D112" s="13" t="inlineStr">
        <is>
          <t>L01</t>
        </is>
      </c>
      <c r="E112" s="13" t="inlineStr">
        <is>
          <t>Chakkani_Raja_seg0058-finetuned_20s</t>
        </is>
      </c>
      <c r="F112" s="13" t="inlineStr">
        <is>
          <t>audio/likert/Chakkani_Raja_seg0058-finetuned_20s.wav</t>
        </is>
      </c>
      <c r="G112" s="13" t="n">
        <v>3</v>
      </c>
      <c r="H112" s="13" t="n">
        <v>4</v>
      </c>
      <c r="I112" s="13" t="n">
        <v>4</v>
      </c>
      <c r="J112" s="13" t="n">
        <v>4</v>
      </c>
      <c r="K112" s="13" t="n"/>
      <c r="L112" s="13" t="inlineStr">
        <is>
          <t>Vocal</t>
        </is>
      </c>
      <c r="M112" s="13" t="inlineStr">
        <is>
          <t>test</t>
        </is>
      </c>
      <c r="N112" s="13" t="n"/>
    </row>
    <row r="113" ht="15" customHeight="1">
      <c r="A113" s="13" t="inlineStr">
        <is>
          <t>PA564067</t>
        </is>
      </c>
      <c r="B113" s="13">
        <f>VLOOKUP(A113,Table1[[#All],[Participant ID]:[Persona]],7,0)</f>
        <v/>
      </c>
      <c r="C113" s="15" t="inlineStr">
        <is>
          <t>2026-04-07T00:07:23</t>
        </is>
      </c>
      <c r="D113" s="13" t="inlineStr">
        <is>
          <t>L05</t>
        </is>
      </c>
      <c r="E113" s="13" t="inlineStr">
        <is>
          <t>Seshachala_Nayakam_seg0142-finetuned_20s</t>
        </is>
      </c>
      <c r="F113" s="13" t="inlineStr">
        <is>
          <t>audio/likert/Seshachala_Nayakam_seg0142-finetuned_20s.wav</t>
        </is>
      </c>
      <c r="G113" s="13" t="n">
        <v>4</v>
      </c>
      <c r="H113" s="13" t="n">
        <v>4</v>
      </c>
      <c r="I113" s="13" t="n">
        <v>3</v>
      </c>
      <c r="J113" s="13" t="n">
        <v>5</v>
      </c>
      <c r="K113" s="13" t="n"/>
      <c r="L113" s="13" t="inlineStr">
        <is>
          <t>Instrumental - Violin</t>
        </is>
      </c>
      <c r="M113" s="13" t="inlineStr">
        <is>
          <t>test</t>
        </is>
      </c>
      <c r="N113" s="13" t="n"/>
    </row>
    <row r="114" ht="15" customHeight="1">
      <c r="A114" s="13" t="inlineStr">
        <is>
          <t>PA564067</t>
        </is>
      </c>
      <c r="B114" s="13">
        <f>VLOOKUP(A114,Table1[[#All],[Participant ID]:[Persona]],7,0)</f>
        <v/>
      </c>
      <c r="C114" s="15" t="inlineStr">
        <is>
          <t>2026-04-07T00:07:23</t>
        </is>
      </c>
      <c r="D114" s="13" t="inlineStr">
        <is>
          <t>L06</t>
        </is>
      </c>
      <c r="E114" s="13" t="inlineStr">
        <is>
          <t>Vizhikkuttunai_seg0041-finetuned_20s</t>
        </is>
      </c>
      <c r="F114" s="13" t="inlineStr">
        <is>
          <t>audio/likert/Vizhikkuttunai_seg0041-finetuned_20s.wav</t>
        </is>
      </c>
      <c r="G114" s="13" t="n">
        <v>5</v>
      </c>
      <c r="H114" s="13" t="n">
        <v>3</v>
      </c>
      <c r="I114" s="13" t="n">
        <v>4</v>
      </c>
      <c r="J114" s="13" t="n">
        <v>4</v>
      </c>
      <c r="K114" s="13" t="n"/>
      <c r="L114" s="13" t="inlineStr">
        <is>
          <t>Vocal</t>
        </is>
      </c>
      <c r="M114" s="13" t="inlineStr">
        <is>
          <t>test</t>
        </is>
      </c>
      <c r="N114" s="13" t="n"/>
    </row>
    <row r="115" ht="15" customHeight="1">
      <c r="A115" s="13" t="inlineStr">
        <is>
          <t>PA564067</t>
        </is>
      </c>
      <c r="B115" s="13">
        <f>VLOOKUP(A115,Table1[[#All],[Participant ID]:[Persona]],7,0)</f>
        <v/>
      </c>
      <c r="C115" s="15" t="inlineStr">
        <is>
          <t>2026-04-07T00:07:23</t>
        </is>
      </c>
      <c r="D115" s="13" t="inlineStr">
        <is>
          <t>L02</t>
        </is>
      </c>
      <c r="E115" s="13" t="inlineStr">
        <is>
          <t>Chakkani_Raja_seg0200-finetuned_20s</t>
        </is>
      </c>
      <c r="F115" s="13" t="inlineStr">
        <is>
          <t>audio/likert/Chakkani_Raja_seg0200-finetuned_20s.wav</t>
        </is>
      </c>
      <c r="G115" s="13" t="n">
        <v>6</v>
      </c>
      <c r="H115" s="13" t="n">
        <v>5</v>
      </c>
      <c r="I115" s="13" t="n">
        <v>5</v>
      </c>
      <c r="J115" s="13" t="n">
        <v>5</v>
      </c>
      <c r="K115" s="13" t="n"/>
      <c r="L115" s="13" t="inlineStr">
        <is>
          <t>Instrumental - Violin</t>
        </is>
      </c>
      <c r="M115" s="13" t="inlineStr">
        <is>
          <t>test</t>
        </is>
      </c>
      <c r="N115" s="13" t="n"/>
    </row>
    <row r="116" ht="15" customHeight="1">
      <c r="A116" s="13" t="inlineStr">
        <is>
          <t>PA6013AB</t>
        </is>
      </c>
      <c r="B116" s="13">
        <f>VLOOKUP(A116,Table1[[#All],[Participant ID]:[Persona]],7,0)</f>
        <v/>
      </c>
      <c r="C116" s="15" t="inlineStr">
        <is>
          <t>2026-04-07T04:07:03</t>
        </is>
      </c>
      <c r="D116" s="13" t="inlineStr">
        <is>
          <t>L06</t>
        </is>
      </c>
      <c r="E116" s="13" t="inlineStr">
        <is>
          <t>Vizhikkuttunai_seg0041-finetuned_20s</t>
        </is>
      </c>
      <c r="F116" s="13" t="inlineStr">
        <is>
          <t>audio/likert/Vizhikkuttunai_seg0041-finetuned_20s.wav</t>
        </is>
      </c>
      <c r="G116" s="13" t="n">
        <v>1</v>
      </c>
      <c r="H116" s="13" t="n">
        <v>4</v>
      </c>
      <c r="I116" s="13" t="n">
        <v>3</v>
      </c>
      <c r="J116" s="13" t="n">
        <v>5</v>
      </c>
      <c r="K116" s="13" t="n"/>
      <c r="L116" s="13" t="inlineStr">
        <is>
          <t>Vocal</t>
        </is>
      </c>
      <c r="M116" s="13" t="inlineStr">
        <is>
          <t>test</t>
        </is>
      </c>
      <c r="N116" s="13" t="n"/>
    </row>
    <row r="117" ht="15" customHeight="1">
      <c r="A117" s="13" t="inlineStr">
        <is>
          <t>PA6013AB</t>
        </is>
      </c>
      <c r="B117" s="13">
        <f>VLOOKUP(A117,Table1[[#All],[Participant ID]:[Persona]],7,0)</f>
        <v/>
      </c>
      <c r="C117" s="15" t="inlineStr">
        <is>
          <t>2026-04-07T04:07:03</t>
        </is>
      </c>
      <c r="D117" s="13" t="inlineStr">
        <is>
          <t>L01</t>
        </is>
      </c>
      <c r="E117" s="13" t="inlineStr">
        <is>
          <t>Chakkani_Raja_seg0058-finetuned_20s</t>
        </is>
      </c>
      <c r="F117" s="13" t="inlineStr">
        <is>
          <t>audio/likert/Chakkani_Raja_seg0058-finetuned_20s.wav</t>
        </is>
      </c>
      <c r="G117" s="13" t="n">
        <v>2</v>
      </c>
      <c r="H117" s="13" t="n">
        <v>4</v>
      </c>
      <c r="I117" s="13" t="n">
        <v>5</v>
      </c>
      <c r="J117" s="13" t="n">
        <v>5</v>
      </c>
      <c r="K117" s="13" t="n"/>
      <c r="L117" s="13" t="inlineStr">
        <is>
          <t>Vocal</t>
        </is>
      </c>
      <c r="M117" s="13" t="inlineStr">
        <is>
          <t>test</t>
        </is>
      </c>
      <c r="N117" s="13" t="n"/>
    </row>
    <row r="118" ht="15" customHeight="1">
      <c r="A118" s="13" t="inlineStr">
        <is>
          <t>PA6013AB</t>
        </is>
      </c>
      <c r="B118" s="13">
        <f>VLOOKUP(A118,Table1[[#All],[Participant ID]:[Persona]],7,0)</f>
        <v/>
      </c>
      <c r="C118" s="15" t="inlineStr">
        <is>
          <t>2026-04-07T04:07:03</t>
        </is>
      </c>
      <c r="D118" s="13" t="inlineStr">
        <is>
          <t>L02</t>
        </is>
      </c>
      <c r="E118" s="13" t="inlineStr">
        <is>
          <t>Chakkani_Raja_seg0200-finetuned_20s</t>
        </is>
      </c>
      <c r="F118" s="13" t="inlineStr">
        <is>
          <t>audio/likert/Chakkani_Raja_seg0200-finetuned_20s.wav</t>
        </is>
      </c>
      <c r="G118" s="13" t="n">
        <v>3</v>
      </c>
      <c r="H118" s="13" t="n">
        <v>5</v>
      </c>
      <c r="I118" s="13" t="n">
        <v>5</v>
      </c>
      <c r="J118" s="13" t="n">
        <v>5</v>
      </c>
      <c r="K118" s="13" t="n"/>
      <c r="L118" s="13" t="inlineStr">
        <is>
          <t>Instrumental - Violin</t>
        </is>
      </c>
      <c r="M118" s="13" t="inlineStr">
        <is>
          <t>test</t>
        </is>
      </c>
      <c r="N118" s="13" t="n"/>
    </row>
    <row r="119" ht="15" customHeight="1">
      <c r="A119" s="13" t="inlineStr">
        <is>
          <t>PA6013AB</t>
        </is>
      </c>
      <c r="B119" s="13">
        <f>VLOOKUP(A119,Table1[[#All],[Participant ID]:[Persona]],7,0)</f>
        <v/>
      </c>
      <c r="C119" s="15" t="inlineStr">
        <is>
          <t>2026-04-07T04:07:03</t>
        </is>
      </c>
      <c r="D119" s="13" t="inlineStr">
        <is>
          <t>L05</t>
        </is>
      </c>
      <c r="E119" s="13" t="inlineStr">
        <is>
          <t>Seshachala_Nayakam_seg0142-finetuned_20s</t>
        </is>
      </c>
      <c r="F119" s="13" t="inlineStr">
        <is>
          <t>audio/likert/Seshachala_Nayakam_seg0142-finetuned_20s.wav</t>
        </is>
      </c>
      <c r="G119" s="13" t="n">
        <v>4</v>
      </c>
      <c r="H119" s="13" t="n">
        <v>5</v>
      </c>
      <c r="I119" s="13" t="n">
        <v>4</v>
      </c>
      <c r="J119" s="13" t="n">
        <v>5</v>
      </c>
      <c r="K119" s="13" t="n"/>
      <c r="L119" s="13" t="inlineStr">
        <is>
          <t>Instrumental - Violin</t>
        </is>
      </c>
      <c r="M119" s="13" t="inlineStr">
        <is>
          <t>test</t>
        </is>
      </c>
      <c r="N119" s="13" t="n"/>
    </row>
    <row r="120" ht="15" customHeight="1">
      <c r="A120" s="13" t="inlineStr">
        <is>
          <t>PA6013AB</t>
        </is>
      </c>
      <c r="B120" s="13">
        <f>VLOOKUP(A120,Table1[[#All],[Participant ID]:[Persona]],7,0)</f>
        <v/>
      </c>
      <c r="C120" s="15" t="inlineStr">
        <is>
          <t>2026-04-07T04:07:03</t>
        </is>
      </c>
      <c r="D120" s="13" t="inlineStr">
        <is>
          <t>L03</t>
        </is>
      </c>
      <c r="E120" s="13" t="inlineStr">
        <is>
          <t>Nannupalimpa_seg0044-finetuned_20s</t>
        </is>
      </c>
      <c r="F120" s="13" t="inlineStr">
        <is>
          <t>audio/likert/Nannupalimpa_seg0044-finetuned_20s.wav</t>
        </is>
      </c>
      <c r="G120" s="13" t="n">
        <v>5</v>
      </c>
      <c r="H120" s="13" t="n">
        <v>5</v>
      </c>
      <c r="I120" s="13" t="n">
        <v>4</v>
      </c>
      <c r="J120" s="13" t="n">
        <v>4</v>
      </c>
      <c r="K120" s="13" t="n"/>
      <c r="L120" s="13" t="inlineStr">
        <is>
          <t>Vocal</t>
        </is>
      </c>
      <c r="M120" s="13" t="inlineStr">
        <is>
          <t>test</t>
        </is>
      </c>
      <c r="N120" s="13" t="n"/>
    </row>
    <row r="121" ht="15" customHeight="1">
      <c r="A121" s="13" t="inlineStr">
        <is>
          <t>PA6013AB</t>
        </is>
      </c>
      <c r="B121" s="13">
        <f>VLOOKUP(A121,Table1[[#All],[Participant ID]:[Persona]],7,0)</f>
        <v/>
      </c>
      <c r="C121" s="15" t="inlineStr">
        <is>
          <t>2026-04-07T04:07:03</t>
        </is>
      </c>
      <c r="D121" s="13" t="inlineStr">
        <is>
          <t>L04</t>
        </is>
      </c>
      <c r="E121" s="13" t="inlineStr">
        <is>
          <t>Ramanatham_Bhajeham_seg0195-finetuned_20s</t>
        </is>
      </c>
      <c r="F121" s="13" t="inlineStr">
        <is>
          <t>audio/likert/Ramanatham_Bhajeham_seg0195-finetuned_20s.wav</t>
        </is>
      </c>
      <c r="G121" s="13" t="n">
        <v>6</v>
      </c>
      <c r="H121" s="13" t="n">
        <v>5</v>
      </c>
      <c r="I121" s="13" t="n">
        <v>4</v>
      </c>
      <c r="J121" s="13" t="n">
        <v>5</v>
      </c>
      <c r="K121" s="13" t="n"/>
      <c r="L121" s="13" t="inlineStr">
        <is>
          <t>Instrumental - Percussion</t>
        </is>
      </c>
      <c r="M121" s="13" t="inlineStr">
        <is>
          <t>test</t>
        </is>
      </c>
      <c r="N121" s="13" t="n"/>
    </row>
    <row r="122" ht="15" customHeight="1">
      <c r="A122" s="13" t="inlineStr">
        <is>
          <t>PAA717AA</t>
        </is>
      </c>
      <c r="B122" s="13">
        <f>VLOOKUP(A122,Table1[[#All],[Participant ID]:[Persona]],7,0)</f>
        <v/>
      </c>
      <c r="C122" s="15" t="inlineStr">
        <is>
          <t>2026-04-07T05:38:18</t>
        </is>
      </c>
      <c r="D122" s="13" t="inlineStr">
        <is>
          <t>L03</t>
        </is>
      </c>
      <c r="E122" s="13" t="inlineStr">
        <is>
          <t>Nannupalimpa_seg0044-finetuned_20s</t>
        </is>
      </c>
      <c r="F122" s="13" t="inlineStr">
        <is>
          <t>audio/likert/Nannupalimpa_seg0044-finetuned_20s.wav</t>
        </is>
      </c>
      <c r="G122" s="13" t="n">
        <v>1</v>
      </c>
      <c r="H122" s="13" t="n">
        <v>4</v>
      </c>
      <c r="I122" s="13" t="n">
        <v>3</v>
      </c>
      <c r="J122" s="13" t="n">
        <v>4</v>
      </c>
      <c r="K122" s="13" t="n"/>
      <c r="L122" s="13" t="inlineStr">
        <is>
          <t>Vocal</t>
        </is>
      </c>
      <c r="M122" s="13" t="inlineStr">
        <is>
          <t>test</t>
        </is>
      </c>
      <c r="N122" s="13" t="n"/>
    </row>
    <row r="123" ht="15" customHeight="1">
      <c r="A123" s="13" t="inlineStr">
        <is>
          <t>PAA717AA</t>
        </is>
      </c>
      <c r="B123" s="13">
        <f>VLOOKUP(A123,Table1[[#All],[Participant ID]:[Persona]],7,0)</f>
        <v/>
      </c>
      <c r="C123" s="15" t="inlineStr">
        <is>
          <t>2026-04-07T05:38:18</t>
        </is>
      </c>
      <c r="D123" s="13" t="inlineStr">
        <is>
          <t>L02</t>
        </is>
      </c>
      <c r="E123" s="13" t="inlineStr">
        <is>
          <t>Chakkani_Raja_seg0200-finetuned_20s</t>
        </is>
      </c>
      <c r="F123" s="13" t="inlineStr">
        <is>
          <t>audio/likert/Chakkani_Raja_seg0200-finetuned_20s.wav</t>
        </is>
      </c>
      <c r="G123" s="13" t="n">
        <v>2</v>
      </c>
      <c r="H123" s="13" t="n">
        <v>5</v>
      </c>
      <c r="I123" s="13" t="n">
        <v>4</v>
      </c>
      <c r="J123" s="13" t="n">
        <v>5</v>
      </c>
      <c r="K123" s="13" t="n"/>
      <c r="L123" s="13" t="inlineStr">
        <is>
          <t>Instrumental - Violin</t>
        </is>
      </c>
      <c r="M123" s="13" t="inlineStr">
        <is>
          <t>test</t>
        </is>
      </c>
      <c r="N123" s="13" t="n"/>
    </row>
    <row r="124" ht="15" customHeight="1">
      <c r="A124" s="13" t="inlineStr">
        <is>
          <t>PAA717AA</t>
        </is>
      </c>
      <c r="B124" s="13">
        <f>VLOOKUP(A124,Table1[[#All],[Participant ID]:[Persona]],7,0)</f>
        <v/>
      </c>
      <c r="C124" s="15" t="inlineStr">
        <is>
          <t>2026-04-07T05:38:18</t>
        </is>
      </c>
      <c r="D124" s="13" t="inlineStr">
        <is>
          <t>L05</t>
        </is>
      </c>
      <c r="E124" s="13" t="inlineStr">
        <is>
          <t>Seshachala_Nayakam_seg0142-finetuned_20s</t>
        </is>
      </c>
      <c r="F124" s="13" t="inlineStr">
        <is>
          <t>audio/likert/Seshachala_Nayakam_seg0142-finetuned_20s.wav</t>
        </is>
      </c>
      <c r="G124" s="13" t="n">
        <v>3</v>
      </c>
      <c r="H124" s="13" t="n">
        <v>5</v>
      </c>
      <c r="I124" s="13" t="n">
        <v>5</v>
      </c>
      <c r="J124" s="13" t="n">
        <v>4</v>
      </c>
      <c r="K124" s="13" t="n"/>
      <c r="L124" s="13" t="inlineStr">
        <is>
          <t>Instrumental - Violin</t>
        </is>
      </c>
      <c r="M124" s="13" t="inlineStr">
        <is>
          <t>test</t>
        </is>
      </c>
      <c r="N124" s="13" t="n"/>
    </row>
    <row r="125" ht="15" customHeight="1">
      <c r="A125" s="13" t="inlineStr">
        <is>
          <t>PAA717AA</t>
        </is>
      </c>
      <c r="B125" s="13">
        <f>VLOOKUP(A125,Table1[[#All],[Participant ID]:[Persona]],7,0)</f>
        <v/>
      </c>
      <c r="C125" s="15" t="inlineStr">
        <is>
          <t>2026-04-07T05:38:18</t>
        </is>
      </c>
      <c r="D125" s="13" t="inlineStr">
        <is>
          <t>L04</t>
        </is>
      </c>
      <c r="E125" s="13" t="inlineStr">
        <is>
          <t>Ramanatham_Bhajeham_seg0195-finetuned_20s</t>
        </is>
      </c>
      <c r="F125" s="13" t="inlineStr">
        <is>
          <t>audio/likert/Ramanatham_Bhajeham_seg0195-finetuned_20s.wav</t>
        </is>
      </c>
      <c r="G125" s="13" t="n">
        <v>4</v>
      </c>
      <c r="H125" s="13" t="n">
        <v>5</v>
      </c>
      <c r="I125" s="13" t="n">
        <v>5</v>
      </c>
      <c r="J125" s="13" t="n">
        <v>5</v>
      </c>
      <c r="K125" s="13" t="n"/>
      <c r="L125" s="13" t="inlineStr">
        <is>
          <t>Instrumental - Percussion</t>
        </is>
      </c>
      <c r="M125" s="13" t="inlineStr">
        <is>
          <t>test</t>
        </is>
      </c>
      <c r="N125" s="13" t="n"/>
    </row>
    <row r="126" ht="15" customHeight="1">
      <c r="A126" s="13" t="inlineStr">
        <is>
          <t>PAA717AA</t>
        </is>
      </c>
      <c r="B126" s="13">
        <f>VLOOKUP(A126,Table1[[#All],[Participant ID]:[Persona]],7,0)</f>
        <v/>
      </c>
      <c r="C126" s="15" t="inlineStr">
        <is>
          <t>2026-04-07T05:38:18</t>
        </is>
      </c>
      <c r="D126" s="13" t="inlineStr">
        <is>
          <t>L06</t>
        </is>
      </c>
      <c r="E126" s="13" t="inlineStr">
        <is>
          <t>Vizhikkuttunai_seg0041-finetuned_20s</t>
        </is>
      </c>
      <c r="F126" s="13" t="inlineStr">
        <is>
          <t>audio/likert/Vizhikkuttunai_seg0041-finetuned_20s.wav</t>
        </is>
      </c>
      <c r="G126" s="13" t="n">
        <v>5</v>
      </c>
      <c r="H126" s="13" t="n">
        <v>4</v>
      </c>
      <c r="I126" s="13" t="n">
        <v>4</v>
      </c>
      <c r="J126" s="13" t="n">
        <v>5</v>
      </c>
      <c r="K126" s="13" t="n"/>
      <c r="L126" s="13" t="inlineStr">
        <is>
          <t>Vocal</t>
        </is>
      </c>
      <c r="M126" s="13" t="inlineStr">
        <is>
          <t>test</t>
        </is>
      </c>
      <c r="N126" s="13" t="n"/>
    </row>
    <row r="127" ht="15" customHeight="1">
      <c r="A127" s="13" t="inlineStr">
        <is>
          <t>PAA717AA</t>
        </is>
      </c>
      <c r="B127" s="13">
        <f>VLOOKUP(A127,Table1[[#All],[Participant ID]:[Persona]],7,0)</f>
        <v/>
      </c>
      <c r="C127" s="15" t="inlineStr">
        <is>
          <t>2026-04-07T05:38:18</t>
        </is>
      </c>
      <c r="D127" s="13" t="inlineStr">
        <is>
          <t>L01</t>
        </is>
      </c>
      <c r="E127" s="13" t="inlineStr">
        <is>
          <t>Chakkani_Raja_seg0058-finetuned_20s</t>
        </is>
      </c>
      <c r="F127" s="13" t="inlineStr">
        <is>
          <t>audio/likert/Chakkani_Raja_seg0058-finetuned_20s.wav</t>
        </is>
      </c>
      <c r="G127" s="13" t="n">
        <v>6</v>
      </c>
      <c r="H127" s="13" t="n">
        <v>4</v>
      </c>
      <c r="I127" s="13" t="n">
        <v>4</v>
      </c>
      <c r="J127" s="13" t="n">
        <v>5</v>
      </c>
      <c r="K127" s="13" t="n"/>
      <c r="L127" s="13" t="inlineStr">
        <is>
          <t>Vocal</t>
        </is>
      </c>
      <c r="M127" s="13" t="inlineStr">
        <is>
          <t>test</t>
        </is>
      </c>
      <c r="N127" s="13" t="n"/>
    </row>
    <row r="128" ht="15" customHeight="1">
      <c r="A128" s="13" t="inlineStr">
        <is>
          <t>PA39F3AA</t>
        </is>
      </c>
      <c r="B128" s="13">
        <f>VLOOKUP(A128,Table1[[#All],[Participant ID]:[Persona]],7,0)</f>
        <v/>
      </c>
      <c r="C128" s="15" t="inlineStr">
        <is>
          <t>2026-04-08T07:23:33</t>
        </is>
      </c>
      <c r="D128" s="13" t="inlineStr">
        <is>
          <t>L05</t>
        </is>
      </c>
      <c r="E128" s="13" t="inlineStr">
        <is>
          <t>Seshachala_Nayakam_seg0142-finetuned_20s</t>
        </is>
      </c>
      <c r="F128" s="13" t="inlineStr">
        <is>
          <t>audio/likert/Seshachala_Nayakam_seg0142-finetuned_20s.wav</t>
        </is>
      </c>
      <c r="G128" s="13" t="n">
        <v>1</v>
      </c>
      <c r="H128" s="13" t="n">
        <v>3</v>
      </c>
      <c r="I128" s="13" t="n">
        <v>4</v>
      </c>
      <c r="J128" s="13" t="n">
        <v>3</v>
      </c>
      <c r="K128" s="13" t="n"/>
      <c r="L128" s="13" t="inlineStr">
        <is>
          <t>Instrumental - Violin</t>
        </is>
      </c>
      <c r="M128" s="13" t="inlineStr">
        <is>
          <t>test</t>
        </is>
      </c>
      <c r="N128" s="13" t="n"/>
    </row>
    <row r="129" ht="15" customHeight="1">
      <c r="A129" s="13" t="inlineStr">
        <is>
          <t>PA39F3AA</t>
        </is>
      </c>
      <c r="B129" s="13">
        <f>VLOOKUP(A129,Table1[[#All],[Participant ID]:[Persona]],7,0)</f>
        <v/>
      </c>
      <c r="C129" s="15" t="inlineStr">
        <is>
          <t>2026-04-08T07:23:33</t>
        </is>
      </c>
      <c r="D129" s="13" t="inlineStr">
        <is>
          <t>L04</t>
        </is>
      </c>
      <c r="E129" s="13" t="inlineStr">
        <is>
          <t>Ramanatham_Bhajeham_seg0195-finetuned_20s</t>
        </is>
      </c>
      <c r="F129" s="13" t="inlineStr">
        <is>
          <t>audio/likert/Ramanatham_Bhajeham_seg0195-finetuned_20s.wav</t>
        </is>
      </c>
      <c r="G129" s="13" t="n">
        <v>2</v>
      </c>
      <c r="H129" s="13" t="n">
        <v>3</v>
      </c>
      <c r="I129" s="13" t="n">
        <v>3</v>
      </c>
      <c r="J129" s="13" t="n">
        <v>3</v>
      </c>
      <c r="K129" s="13" t="n"/>
      <c r="L129" s="13" t="inlineStr">
        <is>
          <t>Instrumental - Percussion</t>
        </is>
      </c>
      <c r="M129" s="13" t="inlineStr">
        <is>
          <t>test</t>
        </is>
      </c>
      <c r="N129" s="13" t="n"/>
    </row>
    <row r="130" ht="15" customHeight="1">
      <c r="A130" s="13" t="inlineStr">
        <is>
          <t>PA39F3AA</t>
        </is>
      </c>
      <c r="B130" s="13">
        <f>VLOOKUP(A130,Table1[[#All],[Participant ID]:[Persona]],7,0)</f>
        <v/>
      </c>
      <c r="C130" s="15" t="inlineStr">
        <is>
          <t>2026-04-08T07:23:33</t>
        </is>
      </c>
      <c r="D130" s="13" t="inlineStr">
        <is>
          <t>L01</t>
        </is>
      </c>
      <c r="E130" s="13" t="inlineStr">
        <is>
          <t>Chakkani_Raja_seg0058-finetuned_20s</t>
        </is>
      </c>
      <c r="F130" s="13" t="inlineStr">
        <is>
          <t>audio/likert/Chakkani_Raja_seg0058-finetuned_20s.wav</t>
        </is>
      </c>
      <c r="G130" s="13" t="n">
        <v>3</v>
      </c>
      <c r="H130" s="13" t="n">
        <v>4</v>
      </c>
      <c r="I130" s="13" t="n">
        <v>2</v>
      </c>
      <c r="J130" s="13" t="n">
        <v>2</v>
      </c>
      <c r="K130" s="13" t="n"/>
      <c r="L130" s="13" t="inlineStr">
        <is>
          <t>Vocal</t>
        </is>
      </c>
      <c r="M130" s="13" t="inlineStr">
        <is>
          <t>test</t>
        </is>
      </c>
      <c r="N130" s="13" t="n"/>
    </row>
    <row r="131" ht="15" customHeight="1">
      <c r="A131" s="13" t="inlineStr">
        <is>
          <t>PA39F3AA</t>
        </is>
      </c>
      <c r="B131" s="13">
        <f>VLOOKUP(A131,Table1[[#All],[Participant ID]:[Persona]],7,0)</f>
        <v/>
      </c>
      <c r="C131" s="15" t="inlineStr">
        <is>
          <t>2026-04-08T07:23:33</t>
        </is>
      </c>
      <c r="D131" s="13" t="inlineStr">
        <is>
          <t>L03</t>
        </is>
      </c>
      <c r="E131" s="13" t="inlineStr">
        <is>
          <t>Nannupalimpa_seg0044-finetuned_20s</t>
        </is>
      </c>
      <c r="F131" s="13" t="inlineStr">
        <is>
          <t>audio/likert/Nannupalimpa_seg0044-finetuned_20s.wav</t>
        </is>
      </c>
      <c r="G131" s="13" t="n">
        <v>4</v>
      </c>
      <c r="H131" s="13" t="n">
        <v>3</v>
      </c>
      <c r="I131" s="13" t="n">
        <v>2</v>
      </c>
      <c r="J131" s="13" t="n">
        <v>3</v>
      </c>
      <c r="K131" s="13" t="n"/>
      <c r="L131" s="13" t="inlineStr">
        <is>
          <t>Vocal</t>
        </is>
      </c>
      <c r="M131" s="13" t="inlineStr">
        <is>
          <t>test</t>
        </is>
      </c>
      <c r="N131" s="13" t="n"/>
    </row>
    <row r="132" ht="15" customHeight="1">
      <c r="A132" s="13" t="inlineStr">
        <is>
          <t>PA39F3AA</t>
        </is>
      </c>
      <c r="B132" s="13">
        <f>VLOOKUP(A132,Table1[[#All],[Participant ID]:[Persona]],7,0)</f>
        <v/>
      </c>
      <c r="C132" s="15" t="inlineStr">
        <is>
          <t>2026-04-08T07:23:33</t>
        </is>
      </c>
      <c r="D132" s="13" t="inlineStr">
        <is>
          <t>L06</t>
        </is>
      </c>
      <c r="E132" s="13" t="inlineStr">
        <is>
          <t>Vizhikkuttunai_seg0041-finetuned_20s</t>
        </is>
      </c>
      <c r="F132" s="13" t="inlineStr">
        <is>
          <t>audio/likert/Vizhikkuttunai_seg0041-finetuned_20s.wav</t>
        </is>
      </c>
      <c r="G132" s="13" t="n">
        <v>5</v>
      </c>
      <c r="H132" s="13" t="n">
        <v>3</v>
      </c>
      <c r="I132" s="13" t="n">
        <v>2</v>
      </c>
      <c r="J132" s="13" t="n">
        <v>4</v>
      </c>
      <c r="K132" s="13" t="n"/>
      <c r="L132" s="13" t="inlineStr">
        <is>
          <t>Vocal</t>
        </is>
      </c>
      <c r="M132" s="13" t="inlineStr">
        <is>
          <t>test</t>
        </is>
      </c>
      <c r="N132" s="13" t="n"/>
    </row>
    <row r="133" ht="15" customHeight="1">
      <c r="A133" s="13" t="inlineStr">
        <is>
          <t>PA39F3AA</t>
        </is>
      </c>
      <c r="B133" s="13">
        <f>VLOOKUP(A133,Table1[[#All],[Participant ID]:[Persona]],7,0)</f>
        <v/>
      </c>
      <c r="C133" s="15" t="inlineStr">
        <is>
          <t>2026-04-08T07:23:33</t>
        </is>
      </c>
      <c r="D133" s="13" t="inlineStr">
        <is>
          <t>L02</t>
        </is>
      </c>
      <c r="E133" s="13" t="inlineStr">
        <is>
          <t>Chakkani_Raja_seg0200-finetuned_20s</t>
        </is>
      </c>
      <c r="F133" s="13" t="inlineStr">
        <is>
          <t>audio/likert/Chakkani_Raja_seg0200-finetuned_20s.wav</t>
        </is>
      </c>
      <c r="G133" s="13" t="n">
        <v>6</v>
      </c>
      <c r="H133" s="13" t="n">
        <v>4</v>
      </c>
      <c r="I133" s="13" t="n">
        <v>4</v>
      </c>
      <c r="J133" s="13" t="n">
        <v>4</v>
      </c>
      <c r="K133" s="13" t="n"/>
      <c r="L133" s="13" t="inlineStr">
        <is>
          <t>Instrumental - Violin</t>
        </is>
      </c>
      <c r="M133" s="13" t="inlineStr">
        <is>
          <t>test</t>
        </is>
      </c>
      <c r="N133" s="13" t="n"/>
    </row>
    <row r="134" ht="15" customHeight="1">
      <c r="A134" s="13" t="inlineStr">
        <is>
          <t>PA9400CD</t>
        </is>
      </c>
      <c r="B134" s="13">
        <f>VLOOKUP(A134,Table1[[#All],[Participant ID]:[Persona]],7,0)</f>
        <v/>
      </c>
      <c r="C134" s="15" t="inlineStr">
        <is>
          <t>2026-04-08T09:01:24</t>
        </is>
      </c>
      <c r="D134" s="13" t="inlineStr">
        <is>
          <t>L06</t>
        </is>
      </c>
      <c r="E134" s="13" t="inlineStr">
        <is>
          <t>Vizhikkuttunai_seg0041-finetuned_20s</t>
        </is>
      </c>
      <c r="F134" s="13" t="inlineStr">
        <is>
          <t>audio/likert/Vizhikkuttunai_seg0041-finetuned_20s.wav</t>
        </is>
      </c>
      <c r="G134" s="13" t="n">
        <v>1</v>
      </c>
      <c r="H134" s="13" t="n">
        <v>3</v>
      </c>
      <c r="I134" s="13" t="n">
        <v>3</v>
      </c>
      <c r="J134" s="13" t="n">
        <v>3</v>
      </c>
      <c r="K134" s="13" t="n"/>
      <c r="L134" s="13" t="inlineStr">
        <is>
          <t>Vocal</t>
        </is>
      </c>
      <c r="M134" s="13" t="inlineStr">
        <is>
          <t>test</t>
        </is>
      </c>
      <c r="N134" s="13" t="n"/>
    </row>
    <row r="135" ht="15" customHeight="1">
      <c r="A135" s="13" t="inlineStr">
        <is>
          <t>PA9400CD</t>
        </is>
      </c>
      <c r="B135" s="13">
        <f>VLOOKUP(A135,Table1[[#All],[Participant ID]:[Persona]],7,0)</f>
        <v/>
      </c>
      <c r="C135" s="15" t="inlineStr">
        <is>
          <t>2026-04-08T09:01:24</t>
        </is>
      </c>
      <c r="D135" s="13" t="inlineStr">
        <is>
          <t>L05</t>
        </is>
      </c>
      <c r="E135" s="13" t="inlineStr">
        <is>
          <t>Seshachala_Nayakam_seg0142-finetuned_20s</t>
        </is>
      </c>
      <c r="F135" s="13" t="inlineStr">
        <is>
          <t>audio/likert/Seshachala_Nayakam_seg0142-finetuned_20s.wav</t>
        </is>
      </c>
      <c r="G135" s="13" t="n">
        <v>2</v>
      </c>
      <c r="H135" s="13" t="n">
        <v>4</v>
      </c>
      <c r="I135" s="13" t="n">
        <v>4</v>
      </c>
      <c r="J135" s="13" t="n">
        <v>4</v>
      </c>
      <c r="K135" s="13" t="n"/>
      <c r="L135" s="13" t="inlineStr">
        <is>
          <t>Instrumental - Violin</t>
        </is>
      </c>
      <c r="M135" s="13" t="inlineStr">
        <is>
          <t>test</t>
        </is>
      </c>
      <c r="N135" s="13" t="n"/>
    </row>
    <row r="136" ht="15" customHeight="1">
      <c r="A136" s="13" t="inlineStr">
        <is>
          <t>PA9400CD</t>
        </is>
      </c>
      <c r="B136" s="13">
        <f>VLOOKUP(A136,Table1[[#All],[Participant ID]:[Persona]],7,0)</f>
        <v/>
      </c>
      <c r="C136" s="15" t="inlineStr">
        <is>
          <t>2026-04-08T09:01:24</t>
        </is>
      </c>
      <c r="D136" s="13" t="inlineStr">
        <is>
          <t>L01</t>
        </is>
      </c>
      <c r="E136" s="13" t="inlineStr">
        <is>
          <t>Chakkani_Raja_seg0058-finetuned_20s</t>
        </is>
      </c>
      <c r="F136" s="13" t="inlineStr">
        <is>
          <t>audio/likert/Chakkani_Raja_seg0058-finetuned_20s.wav</t>
        </is>
      </c>
      <c r="G136" s="13" t="n">
        <v>3</v>
      </c>
      <c r="H136" s="13" t="n">
        <v>3</v>
      </c>
      <c r="I136" s="13" t="n">
        <v>3</v>
      </c>
      <c r="J136" s="13" t="n">
        <v>3</v>
      </c>
      <c r="K136" s="13" t="n"/>
      <c r="L136" s="13" t="inlineStr">
        <is>
          <t>Vocal</t>
        </is>
      </c>
      <c r="M136" s="13" t="inlineStr">
        <is>
          <t>test</t>
        </is>
      </c>
      <c r="N136" s="13" t="n"/>
    </row>
    <row r="137" ht="15" customHeight="1">
      <c r="A137" s="13" t="inlineStr">
        <is>
          <t>PA9400CD</t>
        </is>
      </c>
      <c r="B137" s="13">
        <f>VLOOKUP(A137,Table1[[#All],[Participant ID]:[Persona]],7,0)</f>
        <v/>
      </c>
      <c r="C137" s="15" t="inlineStr">
        <is>
          <t>2026-04-08T09:01:24</t>
        </is>
      </c>
      <c r="D137" s="13" t="inlineStr">
        <is>
          <t>L03</t>
        </is>
      </c>
      <c r="E137" s="13" t="inlineStr">
        <is>
          <t>Nannupalimpa_seg0044-finetuned_20s</t>
        </is>
      </c>
      <c r="F137" s="13" t="inlineStr">
        <is>
          <t>audio/likert/Nannupalimpa_seg0044-finetuned_20s.wav</t>
        </is>
      </c>
      <c r="G137" s="13" t="n">
        <v>4</v>
      </c>
      <c r="H137" s="13" t="n">
        <v>4</v>
      </c>
      <c r="I137" s="13" t="n">
        <v>4</v>
      </c>
      <c r="J137" s="13" t="n">
        <v>4</v>
      </c>
      <c r="K137" s="13" t="n"/>
      <c r="L137" s="13" t="inlineStr">
        <is>
          <t>Vocal</t>
        </is>
      </c>
      <c r="M137" s="13" t="inlineStr">
        <is>
          <t>test</t>
        </is>
      </c>
      <c r="N137" s="13" t="n"/>
    </row>
    <row r="138" ht="15" customHeight="1">
      <c r="A138" s="13" t="inlineStr">
        <is>
          <t>PA9400CD</t>
        </is>
      </c>
      <c r="B138" s="13">
        <f>VLOOKUP(A138,Table1[[#All],[Participant ID]:[Persona]],7,0)</f>
        <v/>
      </c>
      <c r="C138" s="15" t="inlineStr">
        <is>
          <t>2026-04-08T09:01:24</t>
        </is>
      </c>
      <c r="D138" s="13" t="inlineStr">
        <is>
          <t>L02</t>
        </is>
      </c>
      <c r="E138" s="13" t="inlineStr">
        <is>
          <t>Chakkani_Raja_seg0200-finetuned_20s</t>
        </is>
      </c>
      <c r="F138" s="13" t="inlineStr">
        <is>
          <t>audio/likert/Chakkani_Raja_seg0200-finetuned_20s.wav</t>
        </is>
      </c>
      <c r="G138" s="13" t="n">
        <v>5</v>
      </c>
      <c r="H138" s="13" t="n">
        <v>4</v>
      </c>
      <c r="I138" s="13" t="n">
        <v>4</v>
      </c>
      <c r="J138" s="13" t="n">
        <v>4</v>
      </c>
      <c r="K138" s="13" t="n"/>
      <c r="L138" s="13" t="inlineStr">
        <is>
          <t>Instrumental - Violin</t>
        </is>
      </c>
      <c r="M138" s="13" t="inlineStr">
        <is>
          <t>test</t>
        </is>
      </c>
      <c r="N138" s="13" t="n"/>
    </row>
    <row r="139" ht="15" customHeight="1">
      <c r="A139" s="13" t="inlineStr">
        <is>
          <t>PA9400CD</t>
        </is>
      </c>
      <c r="B139" s="13">
        <f>VLOOKUP(A139,Table1[[#All],[Participant ID]:[Persona]],7,0)</f>
        <v/>
      </c>
      <c r="C139" s="15" t="inlineStr">
        <is>
          <t>2026-04-08T09:01:24</t>
        </is>
      </c>
      <c r="D139" s="13" t="inlineStr">
        <is>
          <t>L04</t>
        </is>
      </c>
      <c r="E139" s="13" t="inlineStr">
        <is>
          <t>Ramanatham_Bhajeham_seg0195-finetuned_20s</t>
        </is>
      </c>
      <c r="F139" s="13" t="inlineStr">
        <is>
          <t>audio/likert/Ramanatham_Bhajeham_seg0195-finetuned_20s.wav</t>
        </is>
      </c>
      <c r="G139" s="13" t="n">
        <v>6</v>
      </c>
      <c r="H139" s="13" t="n">
        <v>4</v>
      </c>
      <c r="I139" s="13" t="n">
        <v>4</v>
      </c>
      <c r="J139" s="13" t="n">
        <v>4</v>
      </c>
      <c r="K139" s="13" t="n"/>
      <c r="L139" s="13" t="inlineStr">
        <is>
          <t>Instrumental - Percussion</t>
        </is>
      </c>
      <c r="M139" s="13" t="inlineStr">
        <is>
          <t>test</t>
        </is>
      </c>
      <c r="N139" s="13" t="n"/>
    </row>
    <row r="140" ht="15" customHeight="1">
      <c r="A140" s="13" t="inlineStr">
        <is>
          <t>PABE392B</t>
        </is>
      </c>
      <c r="B140" s="13">
        <f>VLOOKUP(A140,Table1[[#All],[Participant ID]:[Persona]],7,0)</f>
        <v/>
      </c>
      <c r="C140" s="15" t="inlineStr">
        <is>
          <t>2026-04-08T13:56:41</t>
        </is>
      </c>
      <c r="D140" s="13" t="inlineStr">
        <is>
          <t>L03</t>
        </is>
      </c>
      <c r="E140" s="13" t="inlineStr">
        <is>
          <t>Nannupalimpa_seg0044-finetuned_20s</t>
        </is>
      </c>
      <c r="F140" s="13" t="inlineStr">
        <is>
          <t>audio/likert/Nannupalimpa_seg0044-finetuned_20s.wav</t>
        </is>
      </c>
      <c r="G140" s="13" t="n">
        <v>1</v>
      </c>
      <c r="H140" s="13" t="n">
        <v>4</v>
      </c>
      <c r="I140" s="13" t="n">
        <v>5</v>
      </c>
      <c r="J140" s="13" t="n">
        <v>4</v>
      </c>
      <c r="K140" s="13" t="n"/>
      <c r="L140" s="13" t="inlineStr">
        <is>
          <t>Vocal</t>
        </is>
      </c>
      <c r="M140" s="13" t="inlineStr">
        <is>
          <t>test</t>
        </is>
      </c>
      <c r="N140" s="13" t="n"/>
    </row>
    <row r="141" ht="15" customHeight="1">
      <c r="A141" s="13" t="inlineStr">
        <is>
          <t>PABE392B</t>
        </is>
      </c>
      <c r="B141" s="13">
        <f>VLOOKUP(A141,Table1[[#All],[Participant ID]:[Persona]],7,0)</f>
        <v/>
      </c>
      <c r="C141" s="15" t="inlineStr">
        <is>
          <t>2026-04-08T13:56:41</t>
        </is>
      </c>
      <c r="D141" s="13" t="inlineStr">
        <is>
          <t>L05</t>
        </is>
      </c>
      <c r="E141" s="13" t="inlineStr">
        <is>
          <t>Seshachala_Nayakam_seg0142-finetuned_20s</t>
        </is>
      </c>
      <c r="F141" s="13" t="inlineStr">
        <is>
          <t>audio/likert/Seshachala_Nayakam_seg0142-finetuned_20s.wav</t>
        </is>
      </c>
      <c r="G141" s="13" t="n">
        <v>2</v>
      </c>
      <c r="H141" s="13" t="n">
        <v>3</v>
      </c>
      <c r="I141" s="13" t="n">
        <v>1</v>
      </c>
      <c r="J141" s="13" t="n">
        <v>2</v>
      </c>
      <c r="K141" s="13" t="n"/>
      <c r="L141" s="13" t="inlineStr">
        <is>
          <t>Instrumental - Violin</t>
        </is>
      </c>
      <c r="M141" s="13" t="inlineStr">
        <is>
          <t>test</t>
        </is>
      </c>
      <c r="N141" s="13" t="n"/>
    </row>
    <row r="142" ht="15" customHeight="1">
      <c r="A142" s="13" t="inlineStr">
        <is>
          <t>PABE392B</t>
        </is>
      </c>
      <c r="B142" s="13">
        <f>VLOOKUP(A142,Table1[[#All],[Participant ID]:[Persona]],7,0)</f>
        <v/>
      </c>
      <c r="C142" s="15" t="inlineStr">
        <is>
          <t>2026-04-08T13:56:41</t>
        </is>
      </c>
      <c r="D142" s="13" t="inlineStr">
        <is>
          <t>L02</t>
        </is>
      </c>
      <c r="E142" s="13" t="inlineStr">
        <is>
          <t>Chakkani_Raja_seg0200-finetuned_20s</t>
        </is>
      </c>
      <c r="F142" s="13" t="inlineStr">
        <is>
          <t>audio/likert/Chakkani_Raja_seg0200-finetuned_20s.wav</t>
        </is>
      </c>
      <c r="G142" s="13" t="n">
        <v>3</v>
      </c>
      <c r="H142" s="13" t="n">
        <v>3</v>
      </c>
      <c r="I142" s="13" t="n">
        <v>5</v>
      </c>
      <c r="J142" s="13" t="n">
        <v>4</v>
      </c>
      <c r="K142" s="13" t="inlineStr">
        <is>
          <t xml:space="preserve">In AI generated audio, Clarity of swaras is not there
</t>
        </is>
      </c>
      <c r="L142" s="13" t="inlineStr">
        <is>
          <t>Instrumental - Violin</t>
        </is>
      </c>
      <c r="M142" s="13" t="inlineStr">
        <is>
          <t>test</t>
        </is>
      </c>
      <c r="N142" s="13" t="n"/>
    </row>
    <row r="143" ht="15" customHeight="1">
      <c r="A143" s="13" t="inlineStr">
        <is>
          <t>PABE392B</t>
        </is>
      </c>
      <c r="B143" s="13">
        <f>VLOOKUP(A143,Table1[[#All],[Participant ID]:[Persona]],7,0)</f>
        <v/>
      </c>
      <c r="C143" s="15" t="inlineStr">
        <is>
          <t>2026-04-08T13:56:41</t>
        </is>
      </c>
      <c r="D143" s="13" t="inlineStr">
        <is>
          <t>L06</t>
        </is>
      </c>
      <c r="E143" s="13" t="inlineStr">
        <is>
          <t>Vizhikkuttunai_seg0041-finetuned_20s</t>
        </is>
      </c>
      <c r="F143" s="13" t="inlineStr">
        <is>
          <t>audio/likert/Vizhikkuttunai_seg0041-finetuned_20s.wav</t>
        </is>
      </c>
      <c r="G143" s="13" t="n">
        <v>4</v>
      </c>
      <c r="H143" s="13" t="n">
        <v>2</v>
      </c>
      <c r="I143" s="13" t="n">
        <v>3</v>
      </c>
      <c r="J143" s="13" t="n">
        <v>3</v>
      </c>
      <c r="K143" s="13" t="inlineStr">
        <is>
          <t>Sahityam is not clear</t>
        </is>
      </c>
      <c r="L143" s="13" t="inlineStr">
        <is>
          <t>Vocal</t>
        </is>
      </c>
      <c r="M143" s="13" t="inlineStr">
        <is>
          <t>test</t>
        </is>
      </c>
      <c r="N143" s="13" t="n"/>
    </row>
    <row r="144" ht="15" customHeight="1">
      <c r="A144" s="13" t="inlineStr">
        <is>
          <t>PABE392B</t>
        </is>
      </c>
      <c r="B144" s="13">
        <f>VLOOKUP(A144,Table1[[#All],[Participant ID]:[Persona]],7,0)</f>
        <v/>
      </c>
      <c r="C144" s="15" t="inlineStr">
        <is>
          <t>2026-04-08T13:56:41</t>
        </is>
      </c>
      <c r="D144" s="13" t="inlineStr">
        <is>
          <t>L04</t>
        </is>
      </c>
      <c r="E144" s="13" t="inlineStr">
        <is>
          <t>Ramanatham_Bhajeham_seg0195-finetuned_20s</t>
        </is>
      </c>
      <c r="F144" s="13" t="inlineStr">
        <is>
          <t>audio/likert/Ramanatham_Bhajeham_seg0195-finetuned_20s.wav</t>
        </is>
      </c>
      <c r="G144" s="13" t="n">
        <v>5</v>
      </c>
      <c r="H144" s="13" t="n">
        <v>4</v>
      </c>
      <c r="I144" s="13" t="n">
        <v>4</v>
      </c>
      <c r="J144" s="13" t="n">
        <v>4</v>
      </c>
      <c r="K144" s="13" t="n"/>
      <c r="L144" s="13" t="inlineStr">
        <is>
          <t>Instrumental - Percussion</t>
        </is>
      </c>
      <c r="M144" s="13" t="inlineStr">
        <is>
          <t>test</t>
        </is>
      </c>
      <c r="N144" s="13" t="n"/>
    </row>
    <row r="145" ht="15" customHeight="1">
      <c r="A145" s="13" t="inlineStr">
        <is>
          <t>PABE392B</t>
        </is>
      </c>
      <c r="B145" s="13">
        <f>VLOOKUP(A145,Table1[[#All],[Participant ID]:[Persona]],7,0)</f>
        <v/>
      </c>
      <c r="C145" s="15" t="inlineStr">
        <is>
          <t>2026-04-08T13:56:41</t>
        </is>
      </c>
      <c r="D145" s="13" t="inlineStr">
        <is>
          <t>L01</t>
        </is>
      </c>
      <c r="E145" s="13" t="inlineStr">
        <is>
          <t>Chakkani_Raja_seg0058-finetuned_20s</t>
        </is>
      </c>
      <c r="F145" s="13" t="inlineStr">
        <is>
          <t>audio/likert/Chakkani_Raja_seg0058-finetuned_20s.wav</t>
        </is>
      </c>
      <c r="G145" s="13" t="n">
        <v>6</v>
      </c>
      <c r="H145" s="13" t="n">
        <v>3</v>
      </c>
      <c r="I145" s="13" t="n">
        <v>3</v>
      </c>
      <c r="J145" s="13" t="n">
        <v>4</v>
      </c>
      <c r="K145" s="13" t="n"/>
      <c r="L145" s="13" t="inlineStr">
        <is>
          <t>Vocal</t>
        </is>
      </c>
      <c r="M145" s="13" t="inlineStr">
        <is>
          <t>test</t>
        </is>
      </c>
      <c r="N145" s="13" t="n"/>
    </row>
    <row r="146" ht="15" customHeight="1">
      <c r="A146" s="13" t="inlineStr">
        <is>
          <t>PAD23D72</t>
        </is>
      </c>
      <c r="B146" s="13">
        <f>VLOOKUP(A146,Table1[[#All],[Participant ID]:[Persona]],7,0)</f>
        <v/>
      </c>
      <c r="C146" s="15" t="inlineStr">
        <is>
          <t>2026-04-08T16:35:25</t>
        </is>
      </c>
      <c r="D146" s="13" t="inlineStr">
        <is>
          <t>L04</t>
        </is>
      </c>
      <c r="E146" s="13" t="inlineStr">
        <is>
          <t>Ramanatham_Bhajeham_seg0195-finetuned_20s</t>
        </is>
      </c>
      <c r="F146" s="13" t="inlineStr">
        <is>
          <t>audio/likert/Ramanatham_Bhajeham_seg0195-finetuned_20s.wav</t>
        </is>
      </c>
      <c r="G146" s="13" t="n">
        <v>1</v>
      </c>
      <c r="H146" s="13" t="n">
        <v>3</v>
      </c>
      <c r="I146" s="13" t="n">
        <v>3</v>
      </c>
      <c r="J146" s="13" t="n">
        <v>3</v>
      </c>
      <c r="K146" s="13" t="n"/>
      <c r="L146" s="13" t="inlineStr">
        <is>
          <t>Instrumental - Percussion</t>
        </is>
      </c>
      <c r="M146" s="13" t="inlineStr">
        <is>
          <t>test</t>
        </is>
      </c>
      <c r="N146" s="13" t="n"/>
    </row>
    <row r="147" ht="15" customHeight="1">
      <c r="A147" s="13" t="inlineStr">
        <is>
          <t>PAD23D72</t>
        </is>
      </c>
      <c r="B147" s="13">
        <f>VLOOKUP(A147,Table1[[#All],[Participant ID]:[Persona]],7,0)</f>
        <v/>
      </c>
      <c r="C147" s="15" t="inlineStr">
        <is>
          <t>2026-04-08T16:35:25</t>
        </is>
      </c>
      <c r="D147" s="13" t="inlineStr">
        <is>
          <t>L06</t>
        </is>
      </c>
      <c r="E147" s="13" t="inlineStr">
        <is>
          <t>Vizhikkuttunai_seg0041-finetuned_20s</t>
        </is>
      </c>
      <c r="F147" s="13" t="inlineStr">
        <is>
          <t>audio/likert/Vizhikkuttunai_seg0041-finetuned_20s.wav</t>
        </is>
      </c>
      <c r="G147" s="13" t="n">
        <v>2</v>
      </c>
      <c r="H147" s="13" t="n">
        <v>3</v>
      </c>
      <c r="I147" s="13" t="n">
        <v>3</v>
      </c>
      <c r="J147" s="13" t="n">
        <v>3</v>
      </c>
      <c r="K147" s="13" t="n"/>
      <c r="L147" s="13" t="inlineStr">
        <is>
          <t>Vocal</t>
        </is>
      </c>
      <c r="M147" s="13" t="inlineStr">
        <is>
          <t>test</t>
        </is>
      </c>
      <c r="N147" s="13" t="n"/>
    </row>
    <row r="148" ht="15" customHeight="1">
      <c r="A148" s="13" t="inlineStr">
        <is>
          <t>PAD23D72</t>
        </is>
      </c>
      <c r="B148" s="13">
        <f>VLOOKUP(A148,Table1[[#All],[Participant ID]:[Persona]],7,0)</f>
        <v/>
      </c>
      <c r="C148" s="15" t="inlineStr">
        <is>
          <t>2026-04-08T16:35:25</t>
        </is>
      </c>
      <c r="D148" s="13" t="inlineStr">
        <is>
          <t>L03</t>
        </is>
      </c>
      <c r="E148" s="13" t="inlineStr">
        <is>
          <t>Nannupalimpa_seg0044-finetuned_20s</t>
        </is>
      </c>
      <c r="F148" s="13" t="inlineStr">
        <is>
          <t>audio/likert/Nannupalimpa_seg0044-finetuned_20s.wav</t>
        </is>
      </c>
      <c r="G148" s="13" t="n">
        <v>3</v>
      </c>
      <c r="H148" s="13" t="n">
        <v>3</v>
      </c>
      <c r="I148" s="13" t="n">
        <v>3</v>
      </c>
      <c r="J148" s="13" t="n">
        <v>4</v>
      </c>
      <c r="K148" s="13" t="n"/>
      <c r="L148" s="13" t="inlineStr">
        <is>
          <t>Vocal</t>
        </is>
      </c>
      <c r="M148" s="13" t="inlineStr">
        <is>
          <t>test</t>
        </is>
      </c>
      <c r="N148" s="13" t="n"/>
    </row>
    <row r="149" ht="15" customHeight="1">
      <c r="A149" s="13" t="inlineStr">
        <is>
          <t>PAD23D72</t>
        </is>
      </c>
      <c r="B149" s="13">
        <f>VLOOKUP(A149,Table1[[#All],[Participant ID]:[Persona]],7,0)</f>
        <v/>
      </c>
      <c r="C149" s="15" t="inlineStr">
        <is>
          <t>2026-04-08T16:35:25</t>
        </is>
      </c>
      <c r="D149" s="13" t="inlineStr">
        <is>
          <t>L01</t>
        </is>
      </c>
      <c r="E149" s="13" t="inlineStr">
        <is>
          <t>Chakkani_Raja_seg0058-finetuned_20s</t>
        </is>
      </c>
      <c r="F149" s="13" t="inlineStr">
        <is>
          <t>audio/likert/Chakkani_Raja_seg0058-finetuned_20s.wav</t>
        </is>
      </c>
      <c r="G149" s="13" t="n">
        <v>4</v>
      </c>
      <c r="H149" s="13" t="n">
        <v>3</v>
      </c>
      <c r="I149" s="13" t="n">
        <v>3</v>
      </c>
      <c r="J149" s="13" t="n">
        <v>3</v>
      </c>
      <c r="K149" s="13" t="n"/>
      <c r="L149" s="13" t="inlineStr">
        <is>
          <t>Vocal</t>
        </is>
      </c>
      <c r="M149" s="13" t="inlineStr">
        <is>
          <t>test</t>
        </is>
      </c>
      <c r="N149" s="13" t="n"/>
    </row>
    <row r="150" ht="15" customHeight="1">
      <c r="A150" s="13" t="inlineStr">
        <is>
          <t>PAD23D72</t>
        </is>
      </c>
      <c r="B150" s="13">
        <f>VLOOKUP(A150,Table1[[#All],[Participant ID]:[Persona]],7,0)</f>
        <v/>
      </c>
      <c r="C150" s="15" t="inlineStr">
        <is>
          <t>2026-04-08T16:35:25</t>
        </is>
      </c>
      <c r="D150" s="13" t="inlineStr">
        <is>
          <t>L02</t>
        </is>
      </c>
      <c r="E150" s="13" t="inlineStr">
        <is>
          <t>Chakkani_Raja_seg0200-finetuned_20s</t>
        </is>
      </c>
      <c r="F150" s="13" t="inlineStr">
        <is>
          <t>audio/likert/Chakkani_Raja_seg0200-finetuned_20s.wav</t>
        </is>
      </c>
      <c r="G150" s="13" t="n">
        <v>5</v>
      </c>
      <c r="H150" s="13" t="n">
        <v>3</v>
      </c>
      <c r="I150" s="13" t="n">
        <v>3</v>
      </c>
      <c r="J150" s="13" t="n">
        <v>3</v>
      </c>
      <c r="K150" s="13" t="n"/>
      <c r="L150" s="13" t="inlineStr">
        <is>
          <t>Instrumental - Violin</t>
        </is>
      </c>
      <c r="M150" s="13" t="inlineStr">
        <is>
          <t>test</t>
        </is>
      </c>
      <c r="N150" s="13" t="n"/>
    </row>
    <row r="151" ht="15" customHeight="1">
      <c r="A151" s="13" t="inlineStr">
        <is>
          <t>PAD23D72</t>
        </is>
      </c>
      <c r="B151" s="13">
        <f>VLOOKUP(A151,Table1[[#All],[Participant ID]:[Persona]],7,0)</f>
        <v/>
      </c>
      <c r="C151" s="15" t="inlineStr">
        <is>
          <t>2026-04-08T16:35:25</t>
        </is>
      </c>
      <c r="D151" s="13" t="inlineStr">
        <is>
          <t>L05</t>
        </is>
      </c>
      <c r="E151" s="13" t="inlineStr">
        <is>
          <t>Seshachala_Nayakam_seg0142-finetuned_20s</t>
        </is>
      </c>
      <c r="F151" s="13" t="inlineStr">
        <is>
          <t>audio/likert/Seshachala_Nayakam_seg0142-finetuned_20s.wav</t>
        </is>
      </c>
      <c r="G151" s="13" t="n">
        <v>6</v>
      </c>
      <c r="H151" s="13" t="n">
        <v>3</v>
      </c>
      <c r="I151" s="13" t="n">
        <v>2</v>
      </c>
      <c r="J151" s="13" t="n">
        <v>3</v>
      </c>
      <c r="K151" s="13" t="n"/>
      <c r="L151" s="13" t="inlineStr">
        <is>
          <t>Instrumental - Violin</t>
        </is>
      </c>
      <c r="M151" s="13" t="inlineStr">
        <is>
          <t>test</t>
        </is>
      </c>
      <c r="N151" s="13" t="n"/>
    </row>
    <row r="152" ht="15" customHeight="1">
      <c r="A152" s="13" t="inlineStr">
        <is>
          <t>PA44D477</t>
        </is>
      </c>
      <c r="B152" s="13">
        <f>VLOOKUP(A152,Table1[[#All],[Participant ID]:[Persona]],7,0)</f>
        <v/>
      </c>
      <c r="C152" s="15" t="inlineStr">
        <is>
          <t>2026-04-08T16:44:26</t>
        </is>
      </c>
      <c r="D152" s="13" t="inlineStr">
        <is>
          <t>L02</t>
        </is>
      </c>
      <c r="E152" s="13" t="inlineStr">
        <is>
          <t>Chakkani_Raja_seg0200-finetuned_20s</t>
        </is>
      </c>
      <c r="F152" s="13" t="inlineStr">
        <is>
          <t>audio/likert/Chakkani_Raja_seg0200-finetuned_20s.wav</t>
        </is>
      </c>
      <c r="G152" s="13" t="n">
        <v>1</v>
      </c>
      <c r="H152" s="13" t="n">
        <v>4</v>
      </c>
      <c r="I152" s="13" t="n">
        <v>2</v>
      </c>
      <c r="J152" s="13" t="n">
        <v>3</v>
      </c>
      <c r="K152" s="13" t="n"/>
      <c r="L152" s="13" t="inlineStr">
        <is>
          <t>Instrumental - Violin</t>
        </is>
      </c>
      <c r="M152" s="13" t="inlineStr">
        <is>
          <t>test</t>
        </is>
      </c>
      <c r="N152" s="13" t="n"/>
    </row>
    <row r="153" ht="15" customHeight="1">
      <c r="A153" s="13" t="inlineStr">
        <is>
          <t>PA44D477</t>
        </is>
      </c>
      <c r="B153" s="13">
        <f>VLOOKUP(A153,Table1[[#All],[Participant ID]:[Persona]],7,0)</f>
        <v/>
      </c>
      <c r="C153" s="15" t="inlineStr">
        <is>
          <t>2026-04-08T16:44:26</t>
        </is>
      </c>
      <c r="D153" s="13" t="inlineStr">
        <is>
          <t>L05</t>
        </is>
      </c>
      <c r="E153" s="13" t="inlineStr">
        <is>
          <t>Seshachala_Nayakam_seg0142-finetuned_20s</t>
        </is>
      </c>
      <c r="F153" s="13" t="inlineStr">
        <is>
          <t>audio/likert/Seshachala_Nayakam_seg0142-finetuned_20s.wav</t>
        </is>
      </c>
      <c r="G153" s="13" t="n">
        <v>2</v>
      </c>
      <c r="H153" s="13" t="n">
        <v>2</v>
      </c>
      <c r="I153" s="13" t="n">
        <v>4</v>
      </c>
      <c r="J153" s="13" t="n">
        <v>4</v>
      </c>
      <c r="K153" s="13" t="n"/>
      <c r="L153" s="13" t="inlineStr">
        <is>
          <t>Instrumental - Violin</t>
        </is>
      </c>
      <c r="M153" s="13" t="inlineStr">
        <is>
          <t>test</t>
        </is>
      </c>
      <c r="N153" s="13" t="n"/>
    </row>
    <row r="154" ht="15" customHeight="1">
      <c r="A154" s="13" t="inlineStr">
        <is>
          <t>PA44D477</t>
        </is>
      </c>
      <c r="B154" s="13">
        <f>VLOOKUP(A154,Table1[[#All],[Participant ID]:[Persona]],7,0)</f>
        <v/>
      </c>
      <c r="C154" s="15" t="inlineStr">
        <is>
          <t>2026-04-08T16:44:26</t>
        </is>
      </c>
      <c r="D154" s="13" t="inlineStr">
        <is>
          <t>L06</t>
        </is>
      </c>
      <c r="E154" s="13" t="inlineStr">
        <is>
          <t>Vizhikkuttunai_seg0041-finetuned_20s</t>
        </is>
      </c>
      <c r="F154" s="13" t="inlineStr">
        <is>
          <t>audio/likert/Vizhikkuttunai_seg0041-finetuned_20s.wav</t>
        </is>
      </c>
      <c r="G154" s="13" t="n">
        <v>3</v>
      </c>
      <c r="H154" s="13" t="n">
        <v>3</v>
      </c>
      <c r="I154" s="13" t="n">
        <v>2</v>
      </c>
      <c r="J154" s="13" t="n">
        <v>3</v>
      </c>
      <c r="K154" s="13" t="n"/>
      <c r="L154" s="13" t="inlineStr">
        <is>
          <t>Vocal</t>
        </is>
      </c>
      <c r="M154" s="13" t="inlineStr">
        <is>
          <t>test</t>
        </is>
      </c>
      <c r="N154" s="13" t="n"/>
    </row>
    <row r="155" ht="15" customHeight="1">
      <c r="A155" s="13" t="inlineStr">
        <is>
          <t>PA44D477</t>
        </is>
      </c>
      <c r="B155" s="13">
        <f>VLOOKUP(A155,Table1[[#All],[Participant ID]:[Persona]],7,0)</f>
        <v/>
      </c>
      <c r="C155" s="15" t="inlineStr">
        <is>
          <t>2026-04-08T16:44:26</t>
        </is>
      </c>
      <c r="D155" s="13" t="inlineStr">
        <is>
          <t>L03</t>
        </is>
      </c>
      <c r="E155" s="13" t="inlineStr">
        <is>
          <t>Nannupalimpa_seg0044-finetuned_20s</t>
        </is>
      </c>
      <c r="F155" s="13" t="inlineStr">
        <is>
          <t>audio/likert/Nannupalimpa_seg0044-finetuned_20s.wav</t>
        </is>
      </c>
      <c r="G155" s="13" t="n">
        <v>4</v>
      </c>
      <c r="H155" s="13" t="n">
        <v>3</v>
      </c>
      <c r="I155" s="13" t="n">
        <v>3</v>
      </c>
      <c r="J155" s="13" t="n">
        <v>3</v>
      </c>
      <c r="K155" s="13" t="n"/>
      <c r="L155" s="13" t="inlineStr">
        <is>
          <t>Vocal</t>
        </is>
      </c>
      <c r="M155" s="13" t="inlineStr">
        <is>
          <t>test</t>
        </is>
      </c>
      <c r="N155" s="13" t="n"/>
    </row>
    <row r="156" ht="15" customHeight="1">
      <c r="A156" s="13" t="inlineStr">
        <is>
          <t>PA44D477</t>
        </is>
      </c>
      <c r="B156" s="13">
        <f>VLOOKUP(A156,Table1[[#All],[Participant ID]:[Persona]],7,0)</f>
        <v/>
      </c>
      <c r="C156" s="15" t="inlineStr">
        <is>
          <t>2026-04-08T16:44:26</t>
        </is>
      </c>
      <c r="D156" s="13" t="inlineStr">
        <is>
          <t>L04</t>
        </is>
      </c>
      <c r="E156" s="13" t="inlineStr">
        <is>
          <t>Ramanatham_Bhajeham_seg0195-finetuned_20s</t>
        </is>
      </c>
      <c r="F156" s="13" t="inlineStr">
        <is>
          <t>audio/likert/Ramanatham_Bhajeham_seg0195-finetuned_20s.wav</t>
        </is>
      </c>
      <c r="G156" s="13" t="n">
        <v>5</v>
      </c>
      <c r="H156" s="13" t="n">
        <v>4</v>
      </c>
      <c r="I156" s="13" t="n">
        <v>4</v>
      </c>
      <c r="J156" s="13" t="n">
        <v>4</v>
      </c>
      <c r="K156" s="13" t="n"/>
      <c r="L156" s="13" t="inlineStr">
        <is>
          <t>Instrumental - Percussion</t>
        </is>
      </c>
      <c r="M156" s="13" t="inlineStr">
        <is>
          <t>test</t>
        </is>
      </c>
      <c r="N156" s="13" t="n"/>
    </row>
    <row r="157" ht="15" customHeight="1">
      <c r="A157" s="13" t="inlineStr">
        <is>
          <t>PA44D477</t>
        </is>
      </c>
      <c r="B157" s="13">
        <f>VLOOKUP(A157,Table1[[#All],[Participant ID]:[Persona]],7,0)</f>
        <v/>
      </c>
      <c r="C157" s="15" t="inlineStr">
        <is>
          <t>2026-04-08T16:44:26</t>
        </is>
      </c>
      <c r="D157" s="13" t="inlineStr">
        <is>
          <t>L01</t>
        </is>
      </c>
      <c r="E157" s="13" t="inlineStr">
        <is>
          <t>Chakkani_Raja_seg0058-finetuned_20s</t>
        </is>
      </c>
      <c r="F157" s="13" t="inlineStr">
        <is>
          <t>audio/likert/Chakkani_Raja_seg0058-finetuned_20s.wav</t>
        </is>
      </c>
      <c r="G157" s="13" t="n">
        <v>6</v>
      </c>
      <c r="H157" s="13" t="n">
        <v>3</v>
      </c>
      <c r="I157" s="13" t="n">
        <v>2</v>
      </c>
      <c r="J157" s="13" t="n">
        <v>3</v>
      </c>
      <c r="K157" s="13" t="n"/>
      <c r="L157" s="13" t="inlineStr">
        <is>
          <t>Vocal</t>
        </is>
      </c>
      <c r="M157" s="13" t="inlineStr">
        <is>
          <t>test</t>
        </is>
      </c>
      <c r="N157" s="13" t="n"/>
    </row>
    <row r="158" ht="15" customHeight="1">
      <c r="A158" s="13" t="inlineStr">
        <is>
          <t>PA4BADE8</t>
        </is>
      </c>
      <c r="B158" s="13">
        <f>VLOOKUP(A158,Table1[[#All],[Participant ID]:[Persona]],7,0)</f>
        <v/>
      </c>
      <c r="C158" s="15" t="inlineStr">
        <is>
          <t>2026-04-09T03:03:18</t>
        </is>
      </c>
      <c r="D158" s="13" t="inlineStr">
        <is>
          <t>L01</t>
        </is>
      </c>
      <c r="E158" s="13" t="inlineStr">
        <is>
          <t>Chakkani_Raja_seg0058-finetuned_20s</t>
        </is>
      </c>
      <c r="F158" s="13" t="inlineStr">
        <is>
          <t>audio/likert/Chakkani_Raja_seg0058-finetuned_20s.wav</t>
        </is>
      </c>
      <c r="G158" s="13" t="n">
        <v>1</v>
      </c>
      <c r="H158" s="13" t="n">
        <v>1</v>
      </c>
      <c r="I158" s="13" t="n">
        <v>1</v>
      </c>
      <c r="J158" s="13" t="n">
        <v>1</v>
      </c>
      <c r="K158" s="13" t="inlineStr">
        <is>
          <t>Last few seconds was very random</t>
        </is>
      </c>
      <c r="L158" s="13" t="inlineStr">
        <is>
          <t>Vocal</t>
        </is>
      </c>
      <c r="M158" s="13" t="inlineStr">
        <is>
          <t>test</t>
        </is>
      </c>
      <c r="N158" s="13" t="n"/>
    </row>
    <row r="159" ht="15" customHeight="1">
      <c r="A159" s="13" t="inlineStr">
        <is>
          <t>PA4BADE8</t>
        </is>
      </c>
      <c r="B159" s="13">
        <f>VLOOKUP(A159,Table1[[#All],[Participant ID]:[Persona]],7,0)</f>
        <v/>
      </c>
      <c r="C159" s="15" t="inlineStr">
        <is>
          <t>2026-04-09T03:03:18</t>
        </is>
      </c>
      <c r="D159" s="13" t="inlineStr">
        <is>
          <t>L02</t>
        </is>
      </c>
      <c r="E159" s="13" t="inlineStr">
        <is>
          <t>Chakkani_Raja_seg0200-finetuned_20s</t>
        </is>
      </c>
      <c r="F159" s="13" t="inlineStr">
        <is>
          <t>audio/likert/Chakkani_Raja_seg0200-finetuned_20s.wav</t>
        </is>
      </c>
      <c r="G159" s="13" t="n">
        <v>2</v>
      </c>
      <c r="H159" s="13" t="n">
        <v>3</v>
      </c>
      <c r="I159" s="13" t="n">
        <v>3</v>
      </c>
      <c r="J159" s="13" t="n">
        <v>3</v>
      </c>
      <c r="K159" s="13" t="n"/>
      <c r="L159" s="13" t="inlineStr">
        <is>
          <t>Instrumental - Violin</t>
        </is>
      </c>
      <c r="M159" s="13" t="inlineStr">
        <is>
          <t>test</t>
        </is>
      </c>
      <c r="N159" s="13" t="n"/>
    </row>
    <row r="160" ht="15" customHeight="1">
      <c r="A160" s="13" t="inlineStr">
        <is>
          <t>PA4BADE8</t>
        </is>
      </c>
      <c r="B160" s="13">
        <f>VLOOKUP(A160,Table1[[#All],[Participant ID]:[Persona]],7,0)</f>
        <v/>
      </c>
      <c r="C160" s="15" t="inlineStr">
        <is>
          <t>2026-04-09T03:03:18</t>
        </is>
      </c>
      <c r="D160" s="13" t="inlineStr">
        <is>
          <t>L04</t>
        </is>
      </c>
      <c r="E160" s="13" t="inlineStr">
        <is>
          <t>Ramanatham_Bhajeham_seg0195-finetuned_20s</t>
        </is>
      </c>
      <c r="F160" s="13" t="inlineStr">
        <is>
          <t>audio/likert/Ramanatham_Bhajeham_seg0195-finetuned_20s.wav</t>
        </is>
      </c>
      <c r="G160" s="13" t="n">
        <v>3</v>
      </c>
      <c r="H160" s="13" t="n">
        <v>4</v>
      </c>
      <c r="I160" s="13" t="n">
        <v>4</v>
      </c>
      <c r="J160" s="13" t="n">
        <v>3</v>
      </c>
      <c r="K160" s="13" t="n"/>
      <c r="L160" s="13" t="inlineStr">
        <is>
          <t>Instrumental - Percussion</t>
        </is>
      </c>
      <c r="M160" s="13" t="inlineStr">
        <is>
          <t>test</t>
        </is>
      </c>
      <c r="N160" s="13" t="n"/>
    </row>
    <row r="161" ht="15" customHeight="1">
      <c r="A161" s="13" t="inlineStr">
        <is>
          <t>PA4BADE8</t>
        </is>
      </c>
      <c r="B161" s="13">
        <f>VLOOKUP(A161,Table1[[#All],[Participant ID]:[Persona]],7,0)</f>
        <v/>
      </c>
      <c r="C161" s="15" t="inlineStr">
        <is>
          <t>2026-04-09T03:03:18</t>
        </is>
      </c>
      <c r="D161" s="13" t="inlineStr">
        <is>
          <t>L03</t>
        </is>
      </c>
      <c r="E161" s="13" t="inlineStr">
        <is>
          <t>Nannupalimpa_seg0044-finetuned_20s</t>
        </is>
      </c>
      <c r="F161" s="13" t="inlineStr">
        <is>
          <t>audio/likert/Nannupalimpa_seg0044-finetuned_20s.wav</t>
        </is>
      </c>
      <c r="G161" s="13" t="n">
        <v>4</v>
      </c>
      <c r="H161" s="13" t="n">
        <v>1</v>
      </c>
      <c r="I161" s="13" t="n">
        <v>1</v>
      </c>
      <c r="J161" s="13" t="n">
        <v>1</v>
      </c>
      <c r="K161" s="13" t="inlineStr">
        <is>
          <t>Random sounds in the end</t>
        </is>
      </c>
      <c r="L161" s="13" t="inlineStr">
        <is>
          <t>Vocal</t>
        </is>
      </c>
      <c r="M161" s="13" t="inlineStr">
        <is>
          <t>test</t>
        </is>
      </c>
      <c r="N161" s="13" t="n"/>
    </row>
    <row r="162" ht="15" customHeight="1">
      <c r="A162" s="13" t="inlineStr">
        <is>
          <t>PA4BADE8</t>
        </is>
      </c>
      <c r="B162" s="13">
        <f>VLOOKUP(A162,Table1[[#All],[Participant ID]:[Persona]],7,0)</f>
        <v/>
      </c>
      <c r="C162" s="15" t="inlineStr">
        <is>
          <t>2026-04-09T03:03:18</t>
        </is>
      </c>
      <c r="D162" s="13" t="inlineStr">
        <is>
          <t>L05</t>
        </is>
      </c>
      <c r="E162" s="13" t="inlineStr">
        <is>
          <t>Seshachala_Nayakam_seg0142-finetuned_20s</t>
        </is>
      </c>
      <c r="F162" s="13" t="inlineStr">
        <is>
          <t>audio/likert/Seshachala_Nayakam_seg0142-finetuned_20s.wav</t>
        </is>
      </c>
      <c r="G162" s="13" t="n">
        <v>5</v>
      </c>
      <c r="H162" s="13" t="n">
        <v>3</v>
      </c>
      <c r="I162" s="13" t="n">
        <v>3</v>
      </c>
      <c r="J162" s="13" t="n">
        <v>2</v>
      </c>
      <c r="K162" s="13" t="n"/>
      <c r="L162" s="13" t="inlineStr">
        <is>
          <t>Instrumental - Violin</t>
        </is>
      </c>
      <c r="M162" s="13" t="inlineStr">
        <is>
          <t>test</t>
        </is>
      </c>
      <c r="N162" s="13" t="n"/>
    </row>
    <row r="163" ht="15" customHeight="1">
      <c r="A163" s="13" t="inlineStr">
        <is>
          <t>PA4BADE8</t>
        </is>
      </c>
      <c r="B163" s="13">
        <f>VLOOKUP(A163,Table1[[#All],[Participant ID]:[Persona]],7,0)</f>
        <v/>
      </c>
      <c r="C163" s="15" t="inlineStr">
        <is>
          <t>2026-04-09T03:03:18</t>
        </is>
      </c>
      <c r="D163" s="13" t="inlineStr">
        <is>
          <t>L06</t>
        </is>
      </c>
      <c r="E163" s="13" t="inlineStr">
        <is>
          <t>Vizhikkuttunai_seg0041-finetuned_20s</t>
        </is>
      </c>
      <c r="F163" s="13" t="inlineStr">
        <is>
          <t>audio/likert/Vizhikkuttunai_seg0041-finetuned_20s.wav</t>
        </is>
      </c>
      <c r="G163" s="13" t="n">
        <v>6</v>
      </c>
      <c r="H163" s="13" t="n">
        <v>4</v>
      </c>
      <c r="I163" s="13" t="n">
        <v>4</v>
      </c>
      <c r="J163" s="13" t="n">
        <v>4</v>
      </c>
      <c r="K163" s="13" t="n"/>
      <c r="L163" s="13" t="inlineStr">
        <is>
          <t>Vocal</t>
        </is>
      </c>
      <c r="M163" s="13" t="inlineStr">
        <is>
          <t>test</t>
        </is>
      </c>
      <c r="N163" s="13" t="n"/>
    </row>
    <row r="164" ht="15" customHeight="1">
      <c r="A164" s="13" t="inlineStr">
        <is>
          <t>PA6BCE9E</t>
        </is>
      </c>
      <c r="B164" s="13">
        <f>VLOOKUP(A164,Table1[[#All],[Participant ID]:[Persona]],7,0)</f>
        <v/>
      </c>
      <c r="C164" s="15" t="inlineStr">
        <is>
          <t>2026-04-10T22:40:27</t>
        </is>
      </c>
      <c r="D164" s="13" t="inlineStr">
        <is>
          <t>L02</t>
        </is>
      </c>
      <c r="E164" s="13" t="inlineStr">
        <is>
          <t>Chakkani_Raja_seg0200-finetuned_20s</t>
        </is>
      </c>
      <c r="F164" s="13" t="inlineStr">
        <is>
          <t>audio/likert/Chakkani_Raja_seg0200-finetuned_20s.wav</t>
        </is>
      </c>
      <c r="G164" s="13" t="n">
        <v>1</v>
      </c>
      <c r="H164" s="13" t="n">
        <v>4</v>
      </c>
      <c r="I164" s="13" t="n">
        <v>2</v>
      </c>
      <c r="J164" s="13" t="n">
        <v>4</v>
      </c>
      <c r="K164" s="13" t="n"/>
      <c r="L164" s="13" t="inlineStr">
        <is>
          <t>Instrumental - Violin</t>
        </is>
      </c>
      <c r="M164" s="13" t="inlineStr">
        <is>
          <t>test</t>
        </is>
      </c>
      <c r="N164" s="13" t="n"/>
    </row>
    <row r="165" ht="15" customHeight="1">
      <c r="A165" s="13" t="inlineStr">
        <is>
          <t>PA6BCE9E</t>
        </is>
      </c>
      <c r="B165" s="13">
        <f>VLOOKUP(A165,Table1[[#All],[Participant ID]:[Persona]],7,0)</f>
        <v/>
      </c>
      <c r="C165" s="15" t="inlineStr">
        <is>
          <t>2026-04-10T22:40:27</t>
        </is>
      </c>
      <c r="D165" s="13" t="inlineStr">
        <is>
          <t>L05</t>
        </is>
      </c>
      <c r="E165" s="13" t="inlineStr">
        <is>
          <t>Seshachala_Nayakam_seg0142-finetuned_20s</t>
        </is>
      </c>
      <c r="F165" s="13" t="inlineStr">
        <is>
          <t>audio/likert/Seshachala_Nayakam_seg0142-finetuned_20s.wav</t>
        </is>
      </c>
      <c r="G165" s="13" t="n">
        <v>2</v>
      </c>
      <c r="H165" s="13" t="n">
        <v>1</v>
      </c>
      <c r="I165" s="13" t="n">
        <v>2</v>
      </c>
      <c r="J165" s="13" t="n">
        <v>1</v>
      </c>
      <c r="K165" s="13" t="n"/>
      <c r="L165" s="13" t="inlineStr">
        <is>
          <t>Instrumental - Violin</t>
        </is>
      </c>
      <c r="M165" s="13" t="inlineStr">
        <is>
          <t>test</t>
        </is>
      </c>
      <c r="N165" s="13" t="n"/>
    </row>
    <row r="166" ht="15" customHeight="1">
      <c r="A166" s="13" t="inlineStr">
        <is>
          <t>PA6BCE9E</t>
        </is>
      </c>
      <c r="B166" s="13">
        <f>VLOOKUP(A166,Table1[[#All],[Participant ID]:[Persona]],7,0)</f>
        <v/>
      </c>
      <c r="C166" s="15" t="inlineStr">
        <is>
          <t>2026-04-10T22:40:27</t>
        </is>
      </c>
      <c r="D166" s="13" t="inlineStr">
        <is>
          <t>L06</t>
        </is>
      </c>
      <c r="E166" s="13" t="inlineStr">
        <is>
          <t>Vizhikkuttunai_seg0041-finetuned_20s</t>
        </is>
      </c>
      <c r="F166" s="13" t="inlineStr">
        <is>
          <t>audio/likert/Vizhikkuttunai_seg0041-finetuned_20s.wav</t>
        </is>
      </c>
      <c r="G166" s="13" t="n">
        <v>3</v>
      </c>
      <c r="H166" s="13" t="n">
        <v>3</v>
      </c>
      <c r="I166" s="13" t="n">
        <v>5</v>
      </c>
      <c r="J166" s="13" t="n">
        <v>3</v>
      </c>
      <c r="K166" s="13" t="n"/>
      <c r="L166" s="13" t="inlineStr">
        <is>
          <t>Vocal</t>
        </is>
      </c>
      <c r="M166" s="13" t="inlineStr">
        <is>
          <t>test</t>
        </is>
      </c>
      <c r="N166" s="13" t="n"/>
    </row>
    <row r="167" ht="15" customHeight="1">
      <c r="A167" s="13" t="inlineStr">
        <is>
          <t>PA6BCE9E</t>
        </is>
      </c>
      <c r="B167" s="13">
        <f>VLOOKUP(A167,Table1[[#All],[Participant ID]:[Persona]],7,0)</f>
        <v/>
      </c>
      <c r="C167" s="15" t="inlineStr">
        <is>
          <t>2026-04-10T22:40:27</t>
        </is>
      </c>
      <c r="D167" s="13" t="inlineStr">
        <is>
          <t>L04</t>
        </is>
      </c>
      <c r="E167" s="13" t="inlineStr">
        <is>
          <t>Ramanatham_Bhajeham_seg0195-finetuned_20s</t>
        </is>
      </c>
      <c r="F167" s="13" t="inlineStr">
        <is>
          <t>audio/likert/Ramanatham_Bhajeham_seg0195-finetuned_20s.wav</t>
        </is>
      </c>
      <c r="G167" s="13" t="n">
        <v>4</v>
      </c>
      <c r="H167" s="13" t="n">
        <v>5</v>
      </c>
      <c r="I167" s="13" t="n">
        <v>5</v>
      </c>
      <c r="J167" s="13" t="n">
        <v>5</v>
      </c>
      <c r="K167" s="13" t="n"/>
      <c r="L167" s="13" t="inlineStr">
        <is>
          <t>Instrumental - Percussion</t>
        </is>
      </c>
      <c r="M167" s="13" t="inlineStr">
        <is>
          <t>test</t>
        </is>
      </c>
      <c r="N167" s="13" t="n"/>
    </row>
    <row r="168" ht="15" customHeight="1">
      <c r="A168" s="13" t="inlineStr">
        <is>
          <t>PA6BCE9E</t>
        </is>
      </c>
      <c r="B168" s="13">
        <f>VLOOKUP(A168,Table1[[#All],[Participant ID]:[Persona]],7,0)</f>
        <v/>
      </c>
      <c r="C168" s="15" t="inlineStr">
        <is>
          <t>2026-04-10T22:40:27</t>
        </is>
      </c>
      <c r="D168" s="13" t="inlineStr">
        <is>
          <t>L03</t>
        </is>
      </c>
      <c r="E168" s="13" t="inlineStr">
        <is>
          <t>Nannupalimpa_seg0044-finetuned_20s</t>
        </is>
      </c>
      <c r="F168" s="13" t="inlineStr">
        <is>
          <t>audio/likert/Nannupalimpa_seg0044-finetuned_20s.wav</t>
        </is>
      </c>
      <c r="G168" s="13" t="n">
        <v>5</v>
      </c>
      <c r="H168" s="13" t="n">
        <v>1</v>
      </c>
      <c r="I168" s="13" t="n">
        <v>3</v>
      </c>
      <c r="J168" s="13" t="n">
        <v>5</v>
      </c>
      <c r="K168" s="13" t="n"/>
      <c r="L168" s="13" t="inlineStr">
        <is>
          <t>Vocal</t>
        </is>
      </c>
      <c r="M168" s="13" t="inlineStr">
        <is>
          <t>test</t>
        </is>
      </c>
      <c r="N168" s="13" t="n"/>
    </row>
    <row r="169" ht="15" customHeight="1">
      <c r="A169" s="13" t="inlineStr">
        <is>
          <t>PA6BCE9E</t>
        </is>
      </c>
      <c r="B169" s="13">
        <f>VLOOKUP(A169,Table1[[#All],[Participant ID]:[Persona]],7,0)</f>
        <v/>
      </c>
      <c r="C169" s="15" t="inlineStr">
        <is>
          <t>2026-04-10T22:40:27</t>
        </is>
      </c>
      <c r="D169" s="13" t="inlineStr">
        <is>
          <t>L01</t>
        </is>
      </c>
      <c r="E169" s="13" t="inlineStr">
        <is>
          <t>Chakkani_Raja_seg0058-finetuned_20s</t>
        </is>
      </c>
      <c r="F169" s="13" t="inlineStr">
        <is>
          <t>audio/likert/Chakkani_Raja_seg0058-finetuned_20s.wav</t>
        </is>
      </c>
      <c r="G169" s="13" t="n">
        <v>6</v>
      </c>
      <c r="H169" s="13" t="n">
        <v>5</v>
      </c>
      <c r="I169" s="13" t="n">
        <v>5</v>
      </c>
      <c r="J169" s="13" t="n">
        <v>5</v>
      </c>
      <c r="K169" s="13" t="n"/>
      <c r="L169" s="13" t="inlineStr">
        <is>
          <t>Vocal</t>
        </is>
      </c>
      <c r="M169" s="13" t="inlineStr">
        <is>
          <t>test</t>
        </is>
      </c>
      <c r="N169" s="13" t="n"/>
    </row>
    <row r="170" ht="15" customHeight="1">
      <c r="A170" s="13" t="inlineStr">
        <is>
          <t>PA4217ED</t>
        </is>
      </c>
      <c r="B170" s="13">
        <f>VLOOKUP(A170,Table1[[#All],[Participant ID]:[Persona]],7,0)</f>
        <v/>
      </c>
      <c r="C170" s="15" t="inlineStr">
        <is>
          <t>2026-04-13T12:49:17</t>
        </is>
      </c>
      <c r="D170" s="13" t="inlineStr">
        <is>
          <t>L06</t>
        </is>
      </c>
      <c r="E170" s="13" t="inlineStr">
        <is>
          <t>Vizhikkuttunai_seg0041-finetuned_20s</t>
        </is>
      </c>
      <c r="F170" s="13" t="inlineStr">
        <is>
          <t>audio/likert/Vizhikkuttunai_seg0041-finetuned_20s.wav</t>
        </is>
      </c>
      <c r="G170" s="13" t="n">
        <v>1</v>
      </c>
      <c r="H170" s="13" t="n">
        <v>4</v>
      </c>
      <c r="I170" s="13" t="n">
        <v>3</v>
      </c>
      <c r="J170" s="13" t="n">
        <v>4</v>
      </c>
      <c r="K170" s="13" t="n"/>
      <c r="L170" s="13" t="inlineStr">
        <is>
          <t>Vocal</t>
        </is>
      </c>
      <c r="M170" s="13" t="inlineStr">
        <is>
          <t>test</t>
        </is>
      </c>
      <c r="N170" s="13" t="n"/>
    </row>
    <row r="171" ht="15" customHeight="1">
      <c r="A171" s="13" t="inlineStr">
        <is>
          <t>PA4217ED</t>
        </is>
      </c>
      <c r="B171" s="13">
        <f>VLOOKUP(A171,Table1[[#All],[Participant ID]:[Persona]],7,0)</f>
        <v/>
      </c>
      <c r="C171" s="15" t="inlineStr">
        <is>
          <t>2026-04-13T12:49:17</t>
        </is>
      </c>
      <c r="D171" s="13" t="inlineStr">
        <is>
          <t>L01</t>
        </is>
      </c>
      <c r="E171" s="13" t="inlineStr">
        <is>
          <t>Chakkani_Raja_seg0058-finetuned_20s</t>
        </is>
      </c>
      <c r="F171" s="13" t="inlineStr">
        <is>
          <t>audio/likert/Chakkani_Raja_seg0058-finetuned_20s.wav</t>
        </is>
      </c>
      <c r="G171" s="13" t="n">
        <v>2</v>
      </c>
      <c r="H171" s="13" t="n">
        <v>3</v>
      </c>
      <c r="I171" s="13" t="n">
        <v>3</v>
      </c>
      <c r="J171" s="13" t="n">
        <v>4</v>
      </c>
      <c r="K171" s="13" t="n"/>
      <c r="L171" s="13" t="inlineStr">
        <is>
          <t>Vocal</t>
        </is>
      </c>
      <c r="M171" s="13" t="inlineStr">
        <is>
          <t>test</t>
        </is>
      </c>
      <c r="N171" s="13" t="n"/>
    </row>
    <row r="172" ht="15" customHeight="1">
      <c r="A172" s="13" t="inlineStr">
        <is>
          <t>PA4217ED</t>
        </is>
      </c>
      <c r="B172" s="13">
        <f>VLOOKUP(A172,Table1[[#All],[Participant ID]:[Persona]],7,0)</f>
        <v/>
      </c>
      <c r="C172" s="15" t="inlineStr">
        <is>
          <t>2026-04-13T12:49:17</t>
        </is>
      </c>
      <c r="D172" s="13" t="inlineStr">
        <is>
          <t>L04</t>
        </is>
      </c>
      <c r="E172" s="13" t="inlineStr">
        <is>
          <t>Ramanatham_Bhajeham_seg0195-finetuned_20s</t>
        </is>
      </c>
      <c r="F172" s="13" t="inlineStr">
        <is>
          <t>audio/likert/Ramanatham_Bhajeham_seg0195-finetuned_20s.wav</t>
        </is>
      </c>
      <c r="G172" s="13" t="n">
        <v>3</v>
      </c>
      <c r="H172" s="13" t="n">
        <v>3</v>
      </c>
      <c r="I172" s="13" t="n">
        <v>3</v>
      </c>
      <c r="J172" s="13" t="n">
        <v>3</v>
      </c>
      <c r="K172" s="13" t="n"/>
      <c r="L172" s="13" t="inlineStr">
        <is>
          <t>Instrumental - Percussion</t>
        </is>
      </c>
      <c r="M172" s="13" t="inlineStr">
        <is>
          <t>test</t>
        </is>
      </c>
      <c r="N172" s="13" t="n"/>
    </row>
    <row r="173" ht="15" customHeight="1">
      <c r="A173" s="13" t="inlineStr">
        <is>
          <t>PA4217ED</t>
        </is>
      </c>
      <c r="B173" s="13">
        <f>VLOOKUP(A173,Table1[[#All],[Participant ID]:[Persona]],7,0)</f>
        <v/>
      </c>
      <c r="C173" s="15" t="inlineStr">
        <is>
          <t>2026-04-13T12:49:17</t>
        </is>
      </c>
      <c r="D173" s="13" t="inlineStr">
        <is>
          <t>L05</t>
        </is>
      </c>
      <c r="E173" s="13" t="inlineStr">
        <is>
          <t>Seshachala_Nayakam_seg0142-finetuned_20s</t>
        </is>
      </c>
      <c r="F173" s="13" t="inlineStr">
        <is>
          <t>audio/likert/Seshachala_Nayakam_seg0142-finetuned_20s.wav</t>
        </is>
      </c>
      <c r="G173" s="13" t="n">
        <v>4</v>
      </c>
      <c r="H173" s="13" t="n">
        <v>4</v>
      </c>
      <c r="I173" s="13" t="n">
        <v>3</v>
      </c>
      <c r="J173" s="13" t="n">
        <v>4</v>
      </c>
      <c r="K173" s="13" t="n"/>
      <c r="L173" s="13" t="inlineStr">
        <is>
          <t>Instrumental - Violin</t>
        </is>
      </c>
      <c r="M173" s="13" t="inlineStr">
        <is>
          <t>test</t>
        </is>
      </c>
      <c r="N173" s="13" t="n"/>
    </row>
    <row r="174" ht="15" customHeight="1">
      <c r="A174" s="13" t="inlineStr">
        <is>
          <t>PA4217ED</t>
        </is>
      </c>
      <c r="B174" s="13">
        <f>VLOOKUP(A174,Table1[[#All],[Participant ID]:[Persona]],7,0)</f>
        <v/>
      </c>
      <c r="C174" s="15" t="inlineStr">
        <is>
          <t>2026-04-13T12:49:17</t>
        </is>
      </c>
      <c r="D174" s="13" t="inlineStr">
        <is>
          <t>L03</t>
        </is>
      </c>
      <c r="E174" s="13" t="inlineStr">
        <is>
          <t>Nannupalimpa_seg0044-finetuned_20s</t>
        </is>
      </c>
      <c r="F174" s="13" t="inlineStr">
        <is>
          <t>audio/likert/Nannupalimpa_seg0044-finetuned_20s.wav</t>
        </is>
      </c>
      <c r="G174" s="13" t="n">
        <v>5</v>
      </c>
      <c r="H174" s="13" t="n">
        <v>3</v>
      </c>
      <c r="I174" s="13" t="n">
        <v>3</v>
      </c>
      <c r="J174" s="13" t="n">
        <v>4</v>
      </c>
      <c r="K174" s="13" t="n"/>
      <c r="L174" s="13" t="inlineStr">
        <is>
          <t>Vocal</t>
        </is>
      </c>
      <c r="M174" s="13" t="inlineStr">
        <is>
          <t>test</t>
        </is>
      </c>
      <c r="N174" s="13" t="n"/>
    </row>
    <row r="175" ht="15" customHeight="1">
      <c r="A175" s="13" t="inlineStr">
        <is>
          <t>PA4217ED</t>
        </is>
      </c>
      <c r="B175" s="13">
        <f>VLOOKUP(A175,Table1[[#All],[Participant ID]:[Persona]],7,0)</f>
        <v/>
      </c>
      <c r="C175" s="15" t="inlineStr">
        <is>
          <t>2026-04-13T12:49:17</t>
        </is>
      </c>
      <c r="D175" s="13" t="inlineStr">
        <is>
          <t>L02</t>
        </is>
      </c>
      <c r="E175" s="13" t="inlineStr">
        <is>
          <t>Chakkani_Raja_seg0200-finetuned_20s</t>
        </is>
      </c>
      <c r="F175" s="13" t="inlineStr">
        <is>
          <t>audio/likert/Chakkani_Raja_seg0200-finetuned_20s.wav</t>
        </is>
      </c>
      <c r="G175" s="13" t="n">
        <v>6</v>
      </c>
      <c r="H175" s="13" t="n">
        <v>3</v>
      </c>
      <c r="I175" s="13" t="n">
        <v>2</v>
      </c>
      <c r="J175" s="13" t="n">
        <v>4</v>
      </c>
      <c r="K175" s="13" t="n"/>
      <c r="L175" s="13" t="inlineStr">
        <is>
          <t>Instrumental - Violin</t>
        </is>
      </c>
      <c r="M175" s="13" t="inlineStr">
        <is>
          <t>test</t>
        </is>
      </c>
      <c r="N175" s="13" t="n"/>
    </row>
    <row r="176" ht="15" customHeight="1">
      <c r="A176" s="13" t="inlineStr">
        <is>
          <t>PAB26C73</t>
        </is>
      </c>
      <c r="B176" s="13">
        <f>VLOOKUP(A176,Table1[[#All],[Participant ID]:[Persona]],7,0)</f>
        <v/>
      </c>
      <c r="C176" s="15" t="inlineStr">
        <is>
          <t>2026-04-14T14:19:34</t>
        </is>
      </c>
      <c r="D176" s="13" t="inlineStr">
        <is>
          <t>L04</t>
        </is>
      </c>
      <c r="E176" s="13" t="inlineStr">
        <is>
          <t>Ramanatham_Bhajeham_seg0195-finetuned_20s</t>
        </is>
      </c>
      <c r="F176" s="13" t="inlineStr">
        <is>
          <t>audio/likert/Ramanatham_Bhajeham_seg0195-finetuned_20s.wav</t>
        </is>
      </c>
      <c r="G176" s="13" t="n">
        <v>1</v>
      </c>
      <c r="H176" s="13" t="n">
        <v>3</v>
      </c>
      <c r="I176" s="13" t="n">
        <v>3</v>
      </c>
      <c r="J176" s="13" t="n">
        <v>4</v>
      </c>
      <c r="K176" s="13" t="n"/>
      <c r="L176" s="13" t="inlineStr">
        <is>
          <t>Instrumental - Percussion</t>
        </is>
      </c>
      <c r="M176" s="13" t="inlineStr">
        <is>
          <t>test</t>
        </is>
      </c>
      <c r="N176" s="13" t="n"/>
    </row>
    <row r="177" ht="15" customHeight="1">
      <c r="A177" s="13" t="inlineStr">
        <is>
          <t>PAB26C73</t>
        </is>
      </c>
      <c r="B177" s="13">
        <f>VLOOKUP(A177,Table1[[#All],[Participant ID]:[Persona]],7,0)</f>
        <v/>
      </c>
      <c r="C177" s="15" t="inlineStr">
        <is>
          <t>2026-04-14T14:19:34</t>
        </is>
      </c>
      <c r="D177" s="13" t="inlineStr">
        <is>
          <t>L03</t>
        </is>
      </c>
      <c r="E177" s="13" t="inlineStr">
        <is>
          <t>Nannupalimpa_seg0044-finetuned_20s</t>
        </is>
      </c>
      <c r="F177" s="13" t="inlineStr">
        <is>
          <t>audio/likert/Nannupalimpa_seg0044-finetuned_20s.wav</t>
        </is>
      </c>
      <c r="G177" s="13" t="n">
        <v>2</v>
      </c>
      <c r="H177" s="13" t="n">
        <v>2</v>
      </c>
      <c r="I177" s="13" t="n">
        <v>2</v>
      </c>
      <c r="J177" s="13" t="n">
        <v>4</v>
      </c>
      <c r="K177" s="13" t="inlineStr">
        <is>
          <t xml:space="preserve">It doesn’t sound like live music and can easily be identified as AI
The transition is not smooth </t>
        </is>
      </c>
      <c r="L177" s="13" t="inlineStr">
        <is>
          <t>Vocal</t>
        </is>
      </c>
      <c r="M177" s="13" t="inlineStr">
        <is>
          <t>test</t>
        </is>
      </c>
      <c r="N177" s="13" t="n"/>
    </row>
    <row r="178" ht="15" customHeight="1">
      <c r="A178" s="13" t="inlineStr">
        <is>
          <t>PAB26C73</t>
        </is>
      </c>
      <c r="B178" s="13">
        <f>VLOOKUP(A178,Table1[[#All],[Participant ID]:[Persona]],7,0)</f>
        <v/>
      </c>
      <c r="C178" s="15" t="inlineStr">
        <is>
          <t>2026-04-14T14:19:34</t>
        </is>
      </c>
      <c r="D178" s="13" t="inlineStr">
        <is>
          <t>L06</t>
        </is>
      </c>
      <c r="E178" s="13" t="inlineStr">
        <is>
          <t>Vizhikkuttunai_seg0041-finetuned_20s</t>
        </is>
      </c>
      <c r="F178" s="13" t="inlineStr">
        <is>
          <t>audio/likert/Vizhikkuttunai_seg0041-finetuned_20s.wav</t>
        </is>
      </c>
      <c r="G178" s="13" t="n">
        <v>3</v>
      </c>
      <c r="H178" s="13" t="n">
        <v>3</v>
      </c>
      <c r="I178" s="13" t="n">
        <v>3</v>
      </c>
      <c r="J178" s="13" t="n">
        <v>4</v>
      </c>
      <c r="K178" s="13" t="inlineStr">
        <is>
          <t xml:space="preserve">The voice on the second part is not clear and the Swara’s are not very accurate </t>
        </is>
      </c>
      <c r="L178" s="13" t="inlineStr">
        <is>
          <t>Vocal</t>
        </is>
      </c>
      <c r="M178" s="13" t="inlineStr">
        <is>
          <t>test</t>
        </is>
      </c>
      <c r="N178" s="13" t="n"/>
    </row>
    <row r="179" ht="15" customHeight="1">
      <c r="A179" s="13" t="inlineStr">
        <is>
          <t>PAB26C73</t>
        </is>
      </c>
      <c r="B179" s="13">
        <f>VLOOKUP(A179,Table1[[#All],[Participant ID]:[Persona]],7,0)</f>
        <v/>
      </c>
      <c r="C179" s="15" t="inlineStr">
        <is>
          <t>2026-04-14T14:19:34</t>
        </is>
      </c>
      <c r="D179" s="13" t="inlineStr">
        <is>
          <t>L02</t>
        </is>
      </c>
      <c r="E179" s="13" t="inlineStr">
        <is>
          <t>Chakkani_Raja_seg0200-finetuned_20s</t>
        </is>
      </c>
      <c r="F179" s="13" t="inlineStr">
        <is>
          <t>audio/likert/Chakkani_Raja_seg0200-finetuned_20s.wav</t>
        </is>
      </c>
      <c r="G179" s="13" t="n">
        <v>4</v>
      </c>
      <c r="H179" s="13" t="n">
        <v>3</v>
      </c>
      <c r="I179" s="13" t="n">
        <v>3</v>
      </c>
      <c r="J179" s="13" t="n">
        <v>4</v>
      </c>
      <c r="K179" s="13" t="inlineStr">
        <is>
          <t xml:space="preserve">The first 5 seconds of the second half is good but the last note is not very clear that can be fine tuned </t>
        </is>
      </c>
      <c r="L179" s="13" t="inlineStr">
        <is>
          <t>Instrumental - Violin</t>
        </is>
      </c>
      <c r="M179" s="13" t="inlineStr">
        <is>
          <t>test</t>
        </is>
      </c>
      <c r="N179" s="13" t="n"/>
    </row>
    <row r="180" ht="15" customHeight="1">
      <c r="A180" s="13" t="inlineStr">
        <is>
          <t>PAB26C73</t>
        </is>
      </c>
      <c r="B180" s="13">
        <f>VLOOKUP(A180,Table1[[#All],[Participant ID]:[Persona]],7,0)</f>
        <v/>
      </c>
      <c r="C180" s="15" t="inlineStr">
        <is>
          <t>2026-04-14T14:19:34</t>
        </is>
      </c>
      <c r="D180" s="13" t="inlineStr">
        <is>
          <t>L05</t>
        </is>
      </c>
      <c r="E180" s="13" t="inlineStr">
        <is>
          <t>Seshachala_Nayakam_seg0142-finetuned_20s</t>
        </is>
      </c>
      <c r="F180" s="13" t="inlineStr">
        <is>
          <t>audio/likert/Seshachala_Nayakam_seg0142-finetuned_20s.wav</t>
        </is>
      </c>
      <c r="G180" s="13" t="n">
        <v>5</v>
      </c>
      <c r="H180" s="13" t="n">
        <v>3</v>
      </c>
      <c r="I180" s="13" t="n">
        <v>3</v>
      </c>
      <c r="J180" s="13" t="n">
        <v>4</v>
      </c>
      <c r="K180" s="13" t="n"/>
      <c r="L180" s="13" t="inlineStr">
        <is>
          <t>Instrumental - Violin</t>
        </is>
      </c>
      <c r="M180" s="13" t="inlineStr">
        <is>
          <t>test</t>
        </is>
      </c>
      <c r="N180" s="13" t="n"/>
    </row>
    <row r="181" ht="15" customHeight="1">
      <c r="A181" s="13" t="inlineStr">
        <is>
          <t>PAB26C73</t>
        </is>
      </c>
      <c r="B181" s="13">
        <f>VLOOKUP(A181,Table1[[#All],[Participant ID]:[Persona]],7,0)</f>
        <v/>
      </c>
      <c r="C181" s="15" t="inlineStr">
        <is>
          <t>2026-04-14T14:19:34</t>
        </is>
      </c>
      <c r="D181" s="13" t="inlineStr">
        <is>
          <t>L01</t>
        </is>
      </c>
      <c r="E181" s="13" t="inlineStr">
        <is>
          <t>Chakkani_Raja_seg0058-finetuned_20s</t>
        </is>
      </c>
      <c r="F181" s="13" t="inlineStr">
        <is>
          <t>audio/likert/Chakkani_Raja_seg0058-finetuned_20s.wav</t>
        </is>
      </c>
      <c r="G181" s="13" t="n">
        <v>6</v>
      </c>
      <c r="H181" s="13" t="n">
        <v>3</v>
      </c>
      <c r="I181" s="13" t="n">
        <v>3</v>
      </c>
      <c r="J181" s="13" t="n">
        <v>4</v>
      </c>
      <c r="K181" s="13" t="n"/>
      <c r="L181" s="13" t="inlineStr">
        <is>
          <t>Vocal</t>
        </is>
      </c>
      <c r="M181" s="13" t="inlineStr">
        <is>
          <t>test</t>
        </is>
      </c>
      <c r="N181" s="13" t="n"/>
    </row>
    <row r="182" ht="15" customHeight="1">
      <c r="A182" s="13" t="inlineStr">
        <is>
          <t>PA7B7903</t>
        </is>
      </c>
      <c r="B182" s="13">
        <f>VLOOKUP(A182,Table1[[#All],[Participant ID]:[Persona]],7,0)</f>
        <v/>
      </c>
      <c r="C182" s="15" t="inlineStr">
        <is>
          <t>2026-04-14T14:56:23</t>
        </is>
      </c>
      <c r="D182" s="13" t="inlineStr">
        <is>
          <t>L06</t>
        </is>
      </c>
      <c r="E182" s="13" t="inlineStr">
        <is>
          <t>Vizhikkuttunai_seg0041-finetuned_20s</t>
        </is>
      </c>
      <c r="F182" s="13" t="inlineStr">
        <is>
          <t>audio/likert/Vizhikkuttunai_seg0041-finetuned_20s.wav</t>
        </is>
      </c>
      <c r="G182" s="13" t="n">
        <v>1</v>
      </c>
      <c r="H182" s="13" t="n">
        <v>3</v>
      </c>
      <c r="I182" s="13" t="n">
        <v>3</v>
      </c>
      <c r="J182" s="13" t="n">
        <v>4</v>
      </c>
      <c r="K182" s="13" t="n"/>
      <c r="L182" s="13" t="inlineStr">
        <is>
          <t>Vocal</t>
        </is>
      </c>
      <c r="M182" s="13" t="inlineStr">
        <is>
          <t>test</t>
        </is>
      </c>
      <c r="N182" s="13" t="n"/>
    </row>
    <row r="183" ht="15" customHeight="1">
      <c r="A183" s="13" t="inlineStr">
        <is>
          <t>PA7B7903</t>
        </is>
      </c>
      <c r="B183" s="13">
        <f>VLOOKUP(A183,Table1[[#All],[Participant ID]:[Persona]],7,0)</f>
        <v/>
      </c>
      <c r="C183" s="15" t="inlineStr">
        <is>
          <t>2026-04-14T14:56:23</t>
        </is>
      </c>
      <c r="D183" s="13" t="inlineStr">
        <is>
          <t>L02</t>
        </is>
      </c>
      <c r="E183" s="13" t="inlineStr">
        <is>
          <t>Chakkani_Raja_seg0200-finetuned_20s</t>
        </is>
      </c>
      <c r="F183" s="13" t="inlineStr">
        <is>
          <t>audio/likert/Chakkani_Raja_seg0200-finetuned_20s.wav</t>
        </is>
      </c>
      <c r="G183" s="13" t="n">
        <v>2</v>
      </c>
      <c r="H183" s="13" t="n">
        <v>3</v>
      </c>
      <c r="I183" s="13" t="n">
        <v>4</v>
      </c>
      <c r="J183" s="13" t="n">
        <v>3</v>
      </c>
      <c r="K183" s="13" t="n"/>
      <c r="L183" s="13" t="inlineStr">
        <is>
          <t>Instrumental - Violin</t>
        </is>
      </c>
      <c r="M183" s="13" t="inlineStr">
        <is>
          <t>test</t>
        </is>
      </c>
      <c r="N183" s="13" t="n"/>
    </row>
    <row r="184" ht="15" customHeight="1">
      <c r="A184" s="13" t="inlineStr">
        <is>
          <t>PA7B7903</t>
        </is>
      </c>
      <c r="B184" s="13">
        <f>VLOOKUP(A184,Table1[[#All],[Participant ID]:[Persona]],7,0)</f>
        <v/>
      </c>
      <c r="C184" s="15" t="inlineStr">
        <is>
          <t>2026-04-14T14:56:23</t>
        </is>
      </c>
      <c r="D184" s="13" t="inlineStr">
        <is>
          <t>L05</t>
        </is>
      </c>
      <c r="E184" s="13" t="inlineStr">
        <is>
          <t>Seshachala_Nayakam_seg0142-finetuned_20s</t>
        </is>
      </c>
      <c r="F184" s="13" t="inlineStr">
        <is>
          <t>audio/likert/Seshachala_Nayakam_seg0142-finetuned_20s.wav</t>
        </is>
      </c>
      <c r="G184" s="13" t="n">
        <v>3</v>
      </c>
      <c r="H184" s="13" t="n">
        <v>4</v>
      </c>
      <c r="I184" s="13" t="n">
        <v>4</v>
      </c>
      <c r="J184" s="13" t="n">
        <v>4</v>
      </c>
      <c r="K184" s="13" t="n"/>
      <c r="L184" s="13" t="inlineStr">
        <is>
          <t>Instrumental - Violin</t>
        </is>
      </c>
      <c r="M184" s="13" t="inlineStr">
        <is>
          <t>test</t>
        </is>
      </c>
      <c r="N184" s="13" t="n"/>
    </row>
    <row r="185" ht="15" customHeight="1">
      <c r="A185" s="13" t="inlineStr">
        <is>
          <t>PA7B7903</t>
        </is>
      </c>
      <c r="B185" s="13">
        <f>VLOOKUP(A185,Table1[[#All],[Participant ID]:[Persona]],7,0)</f>
        <v/>
      </c>
      <c r="C185" s="15" t="inlineStr">
        <is>
          <t>2026-04-14T14:56:23</t>
        </is>
      </c>
      <c r="D185" s="13" t="inlineStr">
        <is>
          <t>L04</t>
        </is>
      </c>
      <c r="E185" s="13" t="inlineStr">
        <is>
          <t>Ramanatham_Bhajeham_seg0195-finetuned_20s</t>
        </is>
      </c>
      <c r="F185" s="13" t="inlineStr">
        <is>
          <t>audio/likert/Ramanatham_Bhajeham_seg0195-finetuned_20s.wav</t>
        </is>
      </c>
      <c r="G185" s="13" t="n">
        <v>4</v>
      </c>
      <c r="H185" s="13" t="n">
        <v>4</v>
      </c>
      <c r="I185" s="13" t="n">
        <v>4</v>
      </c>
      <c r="J185" s="13" t="n">
        <v>5</v>
      </c>
      <c r="K185" s="13" t="n"/>
      <c r="L185" s="13" t="inlineStr">
        <is>
          <t>Instrumental - Percussion</t>
        </is>
      </c>
      <c r="M185" s="13" t="inlineStr">
        <is>
          <t>test</t>
        </is>
      </c>
      <c r="N185" s="13" t="n"/>
    </row>
    <row r="186" ht="15" customHeight="1">
      <c r="A186" s="13" t="inlineStr">
        <is>
          <t>PA7B7903</t>
        </is>
      </c>
      <c r="B186" s="13">
        <f>VLOOKUP(A186,Table1[[#All],[Participant ID]:[Persona]],7,0)</f>
        <v/>
      </c>
      <c r="C186" s="15" t="inlineStr">
        <is>
          <t>2026-04-14T14:56:23</t>
        </is>
      </c>
      <c r="D186" s="13" t="inlineStr">
        <is>
          <t>L03</t>
        </is>
      </c>
      <c r="E186" s="13" t="inlineStr">
        <is>
          <t>Nannupalimpa_seg0044-finetuned_20s</t>
        </is>
      </c>
      <c r="F186" s="13" t="inlineStr">
        <is>
          <t>audio/likert/Nannupalimpa_seg0044-finetuned_20s.wav</t>
        </is>
      </c>
      <c r="G186" s="13" t="n">
        <v>5</v>
      </c>
      <c r="H186" s="13" t="n">
        <v>3</v>
      </c>
      <c r="I186" s="13" t="n">
        <v>3</v>
      </c>
      <c r="J186" s="13" t="n">
        <v>3</v>
      </c>
      <c r="K186" s="13" t="n"/>
      <c r="L186" s="13" t="inlineStr">
        <is>
          <t>Vocal</t>
        </is>
      </c>
      <c r="M186" s="13" t="inlineStr">
        <is>
          <t>test</t>
        </is>
      </c>
      <c r="N186" s="13" t="n"/>
    </row>
    <row r="187" ht="15" customHeight="1">
      <c r="A187" s="13" t="inlineStr">
        <is>
          <t>PA7B7903</t>
        </is>
      </c>
      <c r="B187" s="13">
        <f>VLOOKUP(A187,Table1[[#All],[Participant ID]:[Persona]],7,0)</f>
        <v/>
      </c>
      <c r="C187" s="15" t="inlineStr">
        <is>
          <t>2026-04-14T14:56:23</t>
        </is>
      </c>
      <c r="D187" s="13" t="inlineStr">
        <is>
          <t>L01</t>
        </is>
      </c>
      <c r="E187" s="13" t="inlineStr">
        <is>
          <t>Chakkani_Raja_seg0058-finetuned_20s</t>
        </is>
      </c>
      <c r="F187" s="13" t="inlineStr">
        <is>
          <t>audio/likert/Chakkani_Raja_seg0058-finetuned_20s.wav</t>
        </is>
      </c>
      <c r="G187" s="13" t="n">
        <v>6</v>
      </c>
      <c r="H187" s="13" t="n">
        <v>3</v>
      </c>
      <c r="I187" s="13" t="n">
        <v>3</v>
      </c>
      <c r="J187" s="13" t="n">
        <v>4</v>
      </c>
      <c r="K187" s="13" t="n"/>
      <c r="L187" s="13" t="inlineStr">
        <is>
          <t>Vocal</t>
        </is>
      </c>
      <c r="M187" s="13" t="inlineStr">
        <is>
          <t>test</t>
        </is>
      </c>
      <c r="N187" s="13" t="n"/>
    </row>
    <row r="188" ht="15" customHeight="1">
      <c r="A188" s="13" t="inlineStr">
        <is>
          <t>PAE6E0AE</t>
        </is>
      </c>
      <c r="B188" s="13">
        <f>VLOOKUP(A188,Table1[[#All],[Participant ID]:[Persona]],7,0)</f>
        <v/>
      </c>
      <c r="C188" s="15" t="inlineStr">
        <is>
          <t>2026-04-14T16:09:05</t>
        </is>
      </c>
      <c r="D188" s="13" t="inlineStr">
        <is>
          <t>L03</t>
        </is>
      </c>
      <c r="E188" s="13" t="inlineStr">
        <is>
          <t>Nannupalimpa_seg0044-finetuned_20s</t>
        </is>
      </c>
      <c r="F188" s="13" t="inlineStr">
        <is>
          <t>audio/likert/Nannupalimpa_seg0044-finetuned_20s.wav</t>
        </is>
      </c>
      <c r="G188" s="13" t="n">
        <v>1</v>
      </c>
      <c r="H188" s="13" t="n">
        <v>2</v>
      </c>
      <c r="I188" s="13" t="n">
        <v>2</v>
      </c>
      <c r="J188" s="13" t="n">
        <v>3</v>
      </c>
      <c r="K188" s="13" t="n"/>
      <c r="L188" s="13" t="inlineStr">
        <is>
          <t>Vocal</t>
        </is>
      </c>
      <c r="M188" s="13" t="inlineStr">
        <is>
          <t>test</t>
        </is>
      </c>
      <c r="N188" s="13" t="n"/>
    </row>
    <row r="189" ht="15" customHeight="1">
      <c r="A189" s="13" t="inlineStr">
        <is>
          <t>PAE6E0AE</t>
        </is>
      </c>
      <c r="B189" s="13">
        <f>VLOOKUP(A189,Table1[[#All],[Participant ID]:[Persona]],7,0)</f>
        <v/>
      </c>
      <c r="C189" s="15" t="inlineStr">
        <is>
          <t>2026-04-14T16:09:05</t>
        </is>
      </c>
      <c r="D189" s="13" t="inlineStr">
        <is>
          <t>L02</t>
        </is>
      </c>
      <c r="E189" s="13" t="inlineStr">
        <is>
          <t>Chakkani_Raja_seg0200-finetuned_20s</t>
        </is>
      </c>
      <c r="F189" s="13" t="inlineStr">
        <is>
          <t>audio/likert/Chakkani_Raja_seg0200-finetuned_20s.wav</t>
        </is>
      </c>
      <c r="G189" s="13" t="n">
        <v>2</v>
      </c>
      <c r="H189" s="13" t="n">
        <v>4</v>
      </c>
      <c r="I189" s="13" t="n">
        <v>3</v>
      </c>
      <c r="J189" s="13" t="n">
        <v>3</v>
      </c>
      <c r="K189" s="13" t="n"/>
      <c r="L189" s="13" t="inlineStr">
        <is>
          <t>Instrumental - Violin</t>
        </is>
      </c>
      <c r="M189" s="13" t="inlineStr">
        <is>
          <t>test</t>
        </is>
      </c>
      <c r="N189" s="13" t="n"/>
    </row>
    <row r="190" ht="15" customHeight="1">
      <c r="A190" s="13" t="inlineStr">
        <is>
          <t>PAE6E0AE</t>
        </is>
      </c>
      <c r="B190" s="13">
        <f>VLOOKUP(A190,Table1[[#All],[Participant ID]:[Persona]],7,0)</f>
        <v/>
      </c>
      <c r="C190" s="15" t="inlineStr">
        <is>
          <t>2026-04-14T16:09:05</t>
        </is>
      </c>
      <c r="D190" s="13" t="inlineStr">
        <is>
          <t>L01</t>
        </is>
      </c>
      <c r="E190" s="13" t="inlineStr">
        <is>
          <t>Chakkani_Raja_seg0058-finetuned_20s</t>
        </is>
      </c>
      <c r="F190" s="13" t="inlineStr">
        <is>
          <t>audio/likert/Chakkani_Raja_seg0058-finetuned_20s.wav</t>
        </is>
      </c>
      <c r="G190" s="13" t="n">
        <v>3</v>
      </c>
      <c r="H190" s="13" t="n">
        <v>4</v>
      </c>
      <c r="I190" s="13" t="n">
        <v>3</v>
      </c>
      <c r="J190" s="13" t="n">
        <v>4</v>
      </c>
      <c r="K190" s="13" t="n"/>
      <c r="L190" s="13" t="inlineStr">
        <is>
          <t>Vocal</t>
        </is>
      </c>
      <c r="M190" s="13" t="inlineStr">
        <is>
          <t>test</t>
        </is>
      </c>
      <c r="N190" s="13" t="n"/>
    </row>
    <row r="191" ht="15" customHeight="1">
      <c r="A191" s="13" t="inlineStr">
        <is>
          <t>PAE6E0AE</t>
        </is>
      </c>
      <c r="B191" s="13">
        <f>VLOOKUP(A191,Table1[[#All],[Participant ID]:[Persona]],7,0)</f>
        <v/>
      </c>
      <c r="C191" s="15" t="inlineStr">
        <is>
          <t>2026-04-14T16:09:05</t>
        </is>
      </c>
      <c r="D191" s="13" t="inlineStr">
        <is>
          <t>L04</t>
        </is>
      </c>
      <c r="E191" s="13" t="inlineStr">
        <is>
          <t>Ramanatham_Bhajeham_seg0195-finetuned_20s</t>
        </is>
      </c>
      <c r="F191" s="13" t="inlineStr">
        <is>
          <t>audio/likert/Ramanatham_Bhajeham_seg0195-finetuned_20s.wav</t>
        </is>
      </c>
      <c r="G191" s="13" t="n">
        <v>4</v>
      </c>
      <c r="H191" s="13" t="n">
        <v>4</v>
      </c>
      <c r="I191" s="13" t="n">
        <v>3</v>
      </c>
      <c r="J191" s="13" t="n">
        <v>4</v>
      </c>
      <c r="K191" s="13" t="n"/>
      <c r="L191" s="13" t="inlineStr">
        <is>
          <t>Instrumental - Percussion</t>
        </is>
      </c>
      <c r="M191" s="13" t="inlineStr">
        <is>
          <t>test</t>
        </is>
      </c>
      <c r="N191" s="13" t="n"/>
    </row>
    <row r="192" ht="15" customHeight="1">
      <c r="A192" s="13" t="inlineStr">
        <is>
          <t>PAE6E0AE</t>
        </is>
      </c>
      <c r="B192" s="13">
        <f>VLOOKUP(A192,Table1[[#All],[Participant ID]:[Persona]],7,0)</f>
        <v/>
      </c>
      <c r="C192" s="15" t="inlineStr">
        <is>
          <t>2026-04-14T16:09:05</t>
        </is>
      </c>
      <c r="D192" s="13" t="inlineStr">
        <is>
          <t>L06</t>
        </is>
      </c>
      <c r="E192" s="13" t="inlineStr">
        <is>
          <t>Vizhikkuttunai_seg0041-finetuned_20s</t>
        </is>
      </c>
      <c r="F192" s="13" t="inlineStr">
        <is>
          <t>audio/likert/Vizhikkuttunai_seg0041-finetuned_20s.wav</t>
        </is>
      </c>
      <c r="G192" s="13" t="n">
        <v>5</v>
      </c>
      <c r="H192" s="13" t="n">
        <v>4</v>
      </c>
      <c r="I192" s="13" t="n">
        <v>4</v>
      </c>
      <c r="J192" s="13" t="n">
        <v>4</v>
      </c>
      <c r="K192" s="13" t="n"/>
      <c r="L192" s="13" t="inlineStr">
        <is>
          <t>Vocal</t>
        </is>
      </c>
      <c r="M192" s="13" t="inlineStr">
        <is>
          <t>test</t>
        </is>
      </c>
      <c r="N192" s="13" t="n"/>
    </row>
    <row r="193" ht="15" customHeight="1">
      <c r="A193" s="13" t="inlineStr">
        <is>
          <t>PAE6E0AE</t>
        </is>
      </c>
      <c r="B193" s="13">
        <f>VLOOKUP(A193,Table1[[#All],[Participant ID]:[Persona]],7,0)</f>
        <v/>
      </c>
      <c r="C193" s="15" t="inlineStr">
        <is>
          <t>2026-04-14T16:09:05</t>
        </is>
      </c>
      <c r="D193" s="13" t="inlineStr">
        <is>
          <t>L05</t>
        </is>
      </c>
      <c r="E193" s="13" t="inlineStr">
        <is>
          <t>Seshachala_Nayakam_seg0142-finetuned_20s</t>
        </is>
      </c>
      <c r="F193" s="13" t="inlineStr">
        <is>
          <t>audio/likert/Seshachala_Nayakam_seg0142-finetuned_20s.wav</t>
        </is>
      </c>
      <c r="G193" s="13" t="n">
        <v>6</v>
      </c>
      <c r="H193" s="13" t="n">
        <v>4</v>
      </c>
      <c r="I193" s="13" t="n">
        <v>4</v>
      </c>
      <c r="J193" s="13" t="n">
        <v>4</v>
      </c>
      <c r="K193" s="13" t="n"/>
      <c r="L193" s="13" t="inlineStr">
        <is>
          <t>Instrumental - Violin</t>
        </is>
      </c>
      <c r="M193" s="13" t="inlineStr">
        <is>
          <t>test</t>
        </is>
      </c>
      <c r="N193" s="13" t="n"/>
    </row>
  </sheetData>
  <autoFilter ref="A1:N193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T193"/>
  <sheetViews>
    <sheetView topLeftCell="A173" zoomScale="109" workbookViewId="0">
      <selection activeCell="A193" sqref="A193"/>
    </sheetView>
  </sheetViews>
  <sheetFormatPr baseColWidth="10" defaultColWidth="12.6640625" defaultRowHeight="15.75" customHeight="1"/>
  <cols>
    <col width="28.1640625" bestFit="1" customWidth="1" style="14" min="1" max="1"/>
    <col width="23.5" bestFit="1" customWidth="1" style="14" min="2" max="2"/>
    <col width="19.5" bestFit="1" customWidth="1" style="14" min="3" max="3"/>
    <col width="9.1640625" bestFit="1" customWidth="1" style="14" min="4" max="4"/>
    <col width="27.1640625" bestFit="1" customWidth="1" style="14" min="5" max="5"/>
    <col width="11.83203125" bestFit="1" customWidth="1" style="14" min="6" max="6"/>
    <col width="18" customWidth="1" style="14" min="7" max="9"/>
    <col width="9.1640625" bestFit="1" customWidth="1" style="14" min="10" max="10"/>
    <col width="14.33203125" bestFit="1" customWidth="1" style="14" min="11" max="11"/>
    <col width="14.6640625" bestFit="1" customWidth="1" style="14" min="12" max="12"/>
    <col width="22" bestFit="1" customWidth="1" style="14" min="13" max="13"/>
    <col width="20.1640625" bestFit="1" customWidth="1" style="14" min="14" max="14"/>
    <col width="20.5" bestFit="1" customWidth="1" style="14" min="15" max="15"/>
    <col width="23" bestFit="1" customWidth="1" style="14" min="16" max="16"/>
    <col width="201.33203125" bestFit="1" customWidth="1" style="14" min="17" max="17"/>
    <col width="21.5" bestFit="1" customWidth="1" style="14" min="18" max="18"/>
    <col width="7" bestFit="1" customWidth="1" style="14" min="19" max="19"/>
    <col width="7.83203125" bestFit="1" customWidth="1" style="14" min="20" max="20"/>
    <col width="12.6640625" customWidth="1" style="14" min="21" max="16384"/>
  </cols>
  <sheetData>
    <row r="1" ht="15.75" customHeight="1">
      <c r="A1" s="13" t="inlineStr">
        <is>
          <t>participant_id</t>
        </is>
      </c>
      <c r="B1" s="13" t="inlineStr">
        <is>
          <t>participant_persona</t>
        </is>
      </c>
      <c r="C1" s="13" t="inlineStr">
        <is>
          <t>response_timestamp</t>
        </is>
      </c>
      <c r="D1" s="13" t="inlineStr">
        <is>
          <t>trial_id</t>
        </is>
      </c>
      <c r="E1" s="13" t="inlineStr">
        <is>
          <t>source_clip_id</t>
        </is>
      </c>
      <c r="F1" s="13" t="inlineStr">
        <is>
          <t>trial_order</t>
        </is>
      </c>
      <c r="G1" s="13" t="inlineStr">
        <is>
          <t>audio_A_path</t>
        </is>
      </c>
      <c r="H1" s="13" t="inlineStr">
        <is>
          <t>audio_B_path</t>
        </is>
      </c>
      <c r="I1" s="13" t="inlineStr">
        <is>
          <t>label_A</t>
        </is>
      </c>
      <c r="J1" s="13" t="inlineStr">
        <is>
          <t>label_B</t>
        </is>
      </c>
      <c r="K1" s="13" t="inlineStr">
        <is>
          <t>better_overall</t>
        </is>
      </c>
      <c r="L1" s="13" t="inlineStr">
        <is>
          <t>more_carnatic</t>
        </is>
      </c>
      <c r="M1" s="13" t="inlineStr">
        <is>
          <t>smoother_continuation</t>
        </is>
      </c>
      <c r="N1" s="13" t="inlineStr">
        <is>
          <t>better_model_overall</t>
        </is>
      </c>
      <c r="O1" s="13" t="inlineStr">
        <is>
          <t>more_carnatic_model</t>
        </is>
      </c>
      <c r="P1" s="13" t="inlineStr">
        <is>
          <t>better_continuity_model</t>
        </is>
      </c>
      <c r="Q1" s="13" t="inlineStr">
        <is>
          <t>trial_comment</t>
        </is>
      </c>
      <c r="R1" s="13" t="inlineStr">
        <is>
          <t>performer_type</t>
        </is>
      </c>
      <c r="S1" s="13" t="inlineStr">
        <is>
          <t>split</t>
        </is>
      </c>
      <c r="T1" s="13" t="inlineStr">
        <is>
          <t>notes</t>
        </is>
      </c>
    </row>
    <row r="2" ht="15.75" customHeight="1">
      <c r="A2" s="13" t="inlineStr">
        <is>
          <t>PA00930C</t>
        </is>
      </c>
      <c r="B2" s="13">
        <f>VLOOKUP(A2,Table1[[#All],[Participant ID]:[Persona]],7,0)</f>
        <v/>
      </c>
      <c r="C2" s="15" t="inlineStr">
        <is>
          <t>2026-04-04T15:51:43</t>
        </is>
      </c>
      <c r="D2" s="13" t="inlineStr">
        <is>
          <t>P01</t>
        </is>
      </c>
      <c r="E2" s="13" t="inlineStr">
        <is>
          <t>Karpagambike_seg0044</t>
        </is>
      </c>
      <c r="F2" s="13" t="n">
        <v>1</v>
      </c>
      <c r="G2" s="13" t="inlineStr">
        <is>
          <t>audio/pairwise/Karpagambike_seg0044-baseline_20s.wav</t>
        </is>
      </c>
      <c r="H2" s="13" t="inlineStr">
        <is>
          <t>audio/pairwise/Karpagambike_seg0044-finetuned_20s.wav</t>
        </is>
      </c>
      <c r="I2" s="13" t="inlineStr">
        <is>
          <t>baseline</t>
        </is>
      </c>
      <c r="J2" s="13" t="inlineStr">
        <is>
          <t>finetuned</t>
        </is>
      </c>
      <c r="K2" s="13" t="inlineStr">
        <is>
          <t>B</t>
        </is>
      </c>
      <c r="L2" s="13" t="inlineStr">
        <is>
          <t>B</t>
        </is>
      </c>
      <c r="M2" s="13" t="inlineStr">
        <is>
          <t>B</t>
        </is>
      </c>
      <c r="N2" s="13">
        <f>IF(K2="A", I2, J2)</f>
        <v/>
      </c>
      <c r="O2" s="13">
        <f>IF(L2="A", I2, J2)</f>
        <v/>
      </c>
      <c r="P2" s="13">
        <f>IF(M2="A", I2, J2)</f>
        <v/>
      </c>
      <c r="Q2" s="13" t="inlineStr">
        <is>
          <t>Clip A at some point bear the end, sruthi missing</t>
        </is>
      </c>
      <c r="R2" s="13" t="inlineStr">
        <is>
          <t>Vocal</t>
        </is>
      </c>
      <c r="S2" s="13" t="inlineStr">
        <is>
          <t>test</t>
        </is>
      </c>
      <c r="T2" s="13" t="n"/>
    </row>
    <row r="3" ht="15.75" customHeight="1">
      <c r="A3" s="13" t="inlineStr">
        <is>
          <t>PA00930C</t>
        </is>
      </c>
      <c r="B3" s="13">
        <f>VLOOKUP(A3,Table1[[#All],[Participant ID]:[Persona]],7,0)</f>
        <v/>
      </c>
      <c r="C3" s="15" t="inlineStr">
        <is>
          <t>2026-04-04T15:51:43</t>
        </is>
      </c>
      <c r="D3" s="13" t="inlineStr">
        <is>
          <t>P03</t>
        </is>
      </c>
      <c r="E3" s="13" t="inlineStr">
        <is>
          <t>Ramanatham_Bhajeham_seg0029</t>
        </is>
      </c>
      <c r="F3" s="13" t="n">
        <v>2</v>
      </c>
      <c r="G3" s="13" t="inlineStr">
        <is>
          <t>audio/pairwise/Ramanatham_Bhajeham_seg0029-finetuned_20s.wav</t>
        </is>
      </c>
      <c r="H3" s="13" t="inlineStr">
        <is>
          <t>audio/pairwise/Ramanatham_Bhajeham_seg0029-baseline_20s.wav</t>
        </is>
      </c>
      <c r="I3" s="13" t="inlineStr">
        <is>
          <t>finetuned</t>
        </is>
      </c>
      <c r="J3" s="13" t="inlineStr">
        <is>
          <t>baseline</t>
        </is>
      </c>
      <c r="K3" s="13" t="inlineStr">
        <is>
          <t>B</t>
        </is>
      </c>
      <c r="L3" s="13" t="inlineStr">
        <is>
          <t>B</t>
        </is>
      </c>
      <c r="M3" s="13" t="inlineStr">
        <is>
          <t>A</t>
        </is>
      </c>
      <c r="N3" s="13">
        <f>IF(K3="A", I3, J3)</f>
        <v/>
      </c>
      <c r="O3" s="13">
        <f>IF(L3="A", I3, J3)</f>
        <v/>
      </c>
      <c r="P3" s="13">
        <f>IF(M3="A", I3, J3)</f>
        <v/>
      </c>
      <c r="Q3" s="13" t="inlineStr">
        <is>
          <t>Both clips need improvements</t>
        </is>
      </c>
      <c r="R3" s="13" t="inlineStr">
        <is>
          <t>Vocal</t>
        </is>
      </c>
      <c r="S3" s="13" t="inlineStr">
        <is>
          <t>test</t>
        </is>
      </c>
      <c r="T3" s="13" t="n"/>
    </row>
    <row r="4" ht="15.75" customHeight="1">
      <c r="A4" s="13" t="inlineStr">
        <is>
          <t>PA00930C</t>
        </is>
      </c>
      <c r="B4" s="13">
        <f>VLOOKUP(A4,Table1[[#All],[Participant ID]:[Persona]],7,0)</f>
        <v/>
      </c>
      <c r="C4" s="15" t="inlineStr">
        <is>
          <t>2026-04-04T15:51:43</t>
        </is>
      </c>
      <c r="D4" s="13" t="inlineStr">
        <is>
          <t>P02</t>
        </is>
      </c>
      <c r="E4" s="13" t="inlineStr">
        <is>
          <t>Raksha_Bettare_seg0201</t>
        </is>
      </c>
      <c r="F4" s="13" t="n">
        <v>3</v>
      </c>
      <c r="G4" s="13" t="inlineStr">
        <is>
          <t>audio/pairwise/Raksha_Bettare_seg0201-baseline_20s.wav</t>
        </is>
      </c>
      <c r="H4" s="13" t="inlineStr">
        <is>
          <t>audio/pairwise/Raksha_Bettare_seg0201-finetuned_20s.wav</t>
        </is>
      </c>
      <c r="I4" s="13" t="inlineStr">
        <is>
          <t>baseline</t>
        </is>
      </c>
      <c r="J4" s="13" t="inlineStr">
        <is>
          <t>finetuned</t>
        </is>
      </c>
      <c r="K4" s="13" t="inlineStr">
        <is>
          <t>B</t>
        </is>
      </c>
      <c r="L4" s="13" t="inlineStr">
        <is>
          <t>B</t>
        </is>
      </c>
      <c r="M4" s="13" t="inlineStr">
        <is>
          <t>A</t>
        </is>
      </c>
      <c r="N4" s="13">
        <f>IF(K4="A", I4, J4)</f>
        <v/>
      </c>
      <c r="O4" s="13">
        <f>IF(L4="A", I4, J4)</f>
        <v/>
      </c>
      <c r="P4" s="13">
        <f>IF(M4="A", I4, J4)</f>
        <v/>
      </c>
      <c r="Q4" s="13" t="n"/>
      <c r="R4" s="13" t="inlineStr">
        <is>
          <t>Vocal</t>
        </is>
      </c>
      <c r="S4" s="13" t="inlineStr">
        <is>
          <t>test</t>
        </is>
      </c>
      <c r="T4" s="13" t="n"/>
    </row>
    <row r="5" ht="15.75" customHeight="1">
      <c r="A5" s="13" t="inlineStr">
        <is>
          <t>PA00930C</t>
        </is>
      </c>
      <c r="B5" s="13">
        <f>VLOOKUP(A5,Table1[[#All],[Participant ID]:[Persona]],7,0)</f>
        <v/>
      </c>
      <c r="C5" s="15" t="inlineStr">
        <is>
          <t>2026-04-04T15:51:43</t>
        </is>
      </c>
      <c r="D5" s="13" t="inlineStr">
        <is>
          <t>P04</t>
        </is>
      </c>
      <c r="E5" s="13" t="inlineStr">
        <is>
          <t>Deva_Deva_Jagadeesha_seg0006</t>
        </is>
      </c>
      <c r="F5" s="13" t="n">
        <v>4</v>
      </c>
      <c r="G5" s="13" t="inlineStr">
        <is>
          <t>audio/pairwise/Deva_Deva_Jagadeesha_seg0006-baseline_20s.wav</t>
        </is>
      </c>
      <c r="H5" s="13" t="inlineStr">
        <is>
          <t>audio/pairwise/Deva_Deva_Jagadeesha_seg0006-finetuned_20s.wav</t>
        </is>
      </c>
      <c r="I5" s="13" t="inlineStr">
        <is>
          <t>baseline</t>
        </is>
      </c>
      <c r="J5" s="13" t="inlineStr">
        <is>
          <t>finetuned</t>
        </is>
      </c>
      <c r="K5" s="13" t="inlineStr">
        <is>
          <t>B</t>
        </is>
      </c>
      <c r="L5" s="13" t="inlineStr">
        <is>
          <t>B</t>
        </is>
      </c>
      <c r="M5" s="13" t="inlineStr">
        <is>
          <t>B</t>
        </is>
      </c>
      <c r="N5" s="13">
        <f>IF(K5="A", I5, J5)</f>
        <v/>
      </c>
      <c r="O5" s="13">
        <f>IF(L5="A", I5, J5)</f>
        <v/>
      </c>
      <c r="P5" s="13">
        <f>IF(M5="A", I5, J5)</f>
        <v/>
      </c>
      <c r="Q5" s="13" t="n"/>
      <c r="R5" s="13" t="inlineStr">
        <is>
          <t>Instrumental - Violin</t>
        </is>
      </c>
      <c r="S5" s="13" t="inlineStr">
        <is>
          <t>test</t>
        </is>
      </c>
      <c r="T5" s="13" t="n"/>
    </row>
    <row r="6" ht="15.75" customHeight="1">
      <c r="A6" s="13" t="inlineStr">
        <is>
          <t>PA00930C</t>
        </is>
      </c>
      <c r="B6" s="13">
        <f>VLOOKUP(A6,Table1[[#All],[Participant ID]:[Persona]],7,0)</f>
        <v/>
      </c>
      <c r="C6" s="15" t="inlineStr">
        <is>
          <t>2026-04-04T15:51:43</t>
        </is>
      </c>
      <c r="D6" s="13" t="inlineStr">
        <is>
          <t>P06</t>
        </is>
      </c>
      <c r="E6" s="13" t="inlineStr">
        <is>
          <t>Seshachala_Nayakam_seg0142</t>
        </is>
      </c>
      <c r="F6" s="13" t="n">
        <v>5</v>
      </c>
      <c r="G6" s="13" t="inlineStr">
        <is>
          <t>audio/pairwise/Seshachala_Nayakam_seg0142-finetuned_20s.wav</t>
        </is>
      </c>
      <c r="H6" s="13" t="inlineStr">
        <is>
          <t>audio/pairwise/Seshachala_Nayakam_seg0142-baseline_20s.wav</t>
        </is>
      </c>
      <c r="I6" s="13" t="inlineStr">
        <is>
          <t>finetuned</t>
        </is>
      </c>
      <c r="J6" s="13" t="inlineStr">
        <is>
          <t>baseline</t>
        </is>
      </c>
      <c r="K6" s="13" t="inlineStr">
        <is>
          <t>A</t>
        </is>
      </c>
      <c r="L6" s="13" t="inlineStr">
        <is>
          <t>A</t>
        </is>
      </c>
      <c r="M6" s="13" t="inlineStr">
        <is>
          <t>A</t>
        </is>
      </c>
      <c r="N6" s="13">
        <f>IF(K6="A", I6, J6)</f>
        <v/>
      </c>
      <c r="O6" s="13">
        <f>IF(L6="A", I6, J6)</f>
        <v/>
      </c>
      <c r="P6" s="13">
        <f>IF(M6="A", I6, J6)</f>
        <v/>
      </c>
      <c r="Q6" s="13" t="inlineStr">
        <is>
          <t>B is out of place. A is better.</t>
        </is>
      </c>
      <c r="R6" s="13" t="inlineStr">
        <is>
          <t>Instrumental - Violin</t>
        </is>
      </c>
      <c r="S6" s="13" t="inlineStr">
        <is>
          <t>test</t>
        </is>
      </c>
      <c r="T6" s="13" t="n"/>
    </row>
    <row r="7" ht="15.75" customHeight="1">
      <c r="A7" s="13" t="inlineStr">
        <is>
          <t>PA00930C</t>
        </is>
      </c>
      <c r="B7" s="13">
        <f>VLOOKUP(A7,Table1[[#All],[Participant ID]:[Persona]],7,0)</f>
        <v/>
      </c>
      <c r="C7" s="15" t="inlineStr">
        <is>
          <t>2026-04-04T15:51:43</t>
        </is>
      </c>
      <c r="D7" s="13" t="inlineStr">
        <is>
          <t>P05</t>
        </is>
      </c>
      <c r="E7" s="13" t="inlineStr">
        <is>
          <t>Nannupalimpa_seg0235</t>
        </is>
      </c>
      <c r="F7" s="13" t="n">
        <v>6</v>
      </c>
      <c r="G7" s="13" t="inlineStr">
        <is>
          <t>audio/pairwise/Nannupalimpa_seg0235-baseline_20s.wav</t>
        </is>
      </c>
      <c r="H7" s="13" t="inlineStr">
        <is>
          <t>audio/pairwise/Nannupalimpa_seg0235-finetuned_20s.wav</t>
        </is>
      </c>
      <c r="I7" s="13" t="inlineStr">
        <is>
          <t>baseline</t>
        </is>
      </c>
      <c r="J7" s="13" t="inlineStr">
        <is>
          <t>finetuned</t>
        </is>
      </c>
      <c r="K7" s="13" t="inlineStr">
        <is>
          <t>B</t>
        </is>
      </c>
      <c r="L7" s="13" t="inlineStr">
        <is>
          <t>B</t>
        </is>
      </c>
      <c r="M7" s="13" t="inlineStr">
        <is>
          <t>B</t>
        </is>
      </c>
      <c r="N7" s="13">
        <f>IF(K7="A", I7, J7)</f>
        <v/>
      </c>
      <c r="O7" s="13">
        <f>IF(L7="A", I7, J7)</f>
        <v/>
      </c>
      <c r="P7" s="13">
        <f>IF(M7="A", I7, J7)</f>
        <v/>
      </c>
      <c r="Q7" s="13" t="inlineStr">
        <is>
          <t>A sruthi varied</t>
        </is>
      </c>
      <c r="R7" s="13" t="inlineStr">
        <is>
          <t>Percussion - Mirudhangam</t>
        </is>
      </c>
      <c r="S7" s="13" t="inlineStr">
        <is>
          <t>test</t>
        </is>
      </c>
      <c r="T7" s="13" t="n"/>
    </row>
    <row r="8" ht="15.75" customHeight="1">
      <c r="A8" s="13" t="inlineStr">
        <is>
          <t>PA7FB7E0</t>
        </is>
      </c>
      <c r="B8" s="13">
        <f>VLOOKUP(A8,Table1[[#All],[Participant ID]:[Persona]],7,0)</f>
        <v/>
      </c>
      <c r="C8" s="15" t="inlineStr">
        <is>
          <t>2026-04-04T16:54:13</t>
        </is>
      </c>
      <c r="D8" s="13" t="inlineStr">
        <is>
          <t>P03</t>
        </is>
      </c>
      <c r="E8" s="13" t="inlineStr">
        <is>
          <t>Ramanatham_Bhajeham_seg0029</t>
        </is>
      </c>
      <c r="F8" s="13" t="n">
        <v>1</v>
      </c>
      <c r="G8" s="13" t="inlineStr">
        <is>
          <t>audio/pairwise/Ramanatham_Bhajeham_seg0029-baseline_20s.wav</t>
        </is>
      </c>
      <c r="H8" s="13" t="inlineStr">
        <is>
          <t>audio/pairwise/Ramanatham_Bhajeham_seg0029-finetuned_20s.wav</t>
        </is>
      </c>
      <c r="I8" s="13" t="inlineStr">
        <is>
          <t>baseline</t>
        </is>
      </c>
      <c r="J8" s="13" t="inlineStr">
        <is>
          <t>finetuned</t>
        </is>
      </c>
      <c r="K8" s="13" t="inlineStr">
        <is>
          <t>A</t>
        </is>
      </c>
      <c r="L8" s="13" t="inlineStr">
        <is>
          <t>A</t>
        </is>
      </c>
      <c r="M8" s="13" t="inlineStr">
        <is>
          <t>A</t>
        </is>
      </c>
      <c r="N8" s="13">
        <f>IF(K8="A", I8, J8)</f>
        <v/>
      </c>
      <c r="O8" s="13">
        <f>IF(L8="A", I8, J8)</f>
        <v/>
      </c>
      <c r="P8" s="13">
        <f>IF(M8="A", I8, J8)</f>
        <v/>
      </c>
      <c r="Q8" s="13" t="n"/>
      <c r="R8" s="13" t="inlineStr">
        <is>
          <t>Vocal</t>
        </is>
      </c>
      <c r="S8" s="13" t="inlineStr">
        <is>
          <t>test</t>
        </is>
      </c>
      <c r="T8" s="13" t="n"/>
    </row>
    <row r="9" ht="15.75" customHeight="1">
      <c r="A9" s="13" t="inlineStr">
        <is>
          <t>PA7FB7E0</t>
        </is>
      </c>
      <c r="B9" s="13">
        <f>VLOOKUP(A9,Table1[[#All],[Participant ID]:[Persona]],7,0)</f>
        <v/>
      </c>
      <c r="C9" s="15" t="inlineStr">
        <is>
          <t>2026-04-04T16:54:13</t>
        </is>
      </c>
      <c r="D9" s="13" t="inlineStr">
        <is>
          <t>P04</t>
        </is>
      </c>
      <c r="E9" s="13" t="inlineStr">
        <is>
          <t>Deva_Deva_Jagadeesha_seg0006</t>
        </is>
      </c>
      <c r="F9" s="13" t="n">
        <v>2</v>
      </c>
      <c r="G9" s="13" t="inlineStr">
        <is>
          <t>audio/pairwise/Deva_Deva_Jagadeesha_seg0006-baseline_20s.wav</t>
        </is>
      </c>
      <c r="H9" s="13" t="inlineStr">
        <is>
          <t>audio/pairwise/Deva_Deva_Jagadeesha_seg0006-finetuned_20s.wav</t>
        </is>
      </c>
      <c r="I9" s="13" t="inlineStr">
        <is>
          <t>baseline</t>
        </is>
      </c>
      <c r="J9" s="13" t="inlineStr">
        <is>
          <t>finetuned</t>
        </is>
      </c>
      <c r="K9" s="13" t="inlineStr">
        <is>
          <t>B</t>
        </is>
      </c>
      <c r="L9" s="13" t="inlineStr">
        <is>
          <t>B</t>
        </is>
      </c>
      <c r="M9" s="13" t="inlineStr">
        <is>
          <t>A</t>
        </is>
      </c>
      <c r="N9" s="13">
        <f>IF(K9="A", I9, J9)</f>
        <v/>
      </c>
      <c r="O9" s="13">
        <f>IF(L9="A", I9, J9)</f>
        <v/>
      </c>
      <c r="P9" s="13">
        <f>IF(M9="A", I9, J9)</f>
        <v/>
      </c>
      <c r="Q9" s="13" t="n"/>
      <c r="R9" s="13" t="inlineStr">
        <is>
          <t>Instrumental - Violin</t>
        </is>
      </c>
      <c r="S9" s="13" t="inlineStr">
        <is>
          <t>test</t>
        </is>
      </c>
      <c r="T9" s="13" t="n"/>
    </row>
    <row r="10" ht="15.75" customHeight="1">
      <c r="A10" s="13" t="inlineStr">
        <is>
          <t>PA7FB7E0</t>
        </is>
      </c>
      <c r="B10" s="13">
        <f>VLOOKUP(A10,Table1[[#All],[Participant ID]:[Persona]],7,0)</f>
        <v/>
      </c>
      <c r="C10" s="15" t="inlineStr">
        <is>
          <t>2026-04-04T16:54:13</t>
        </is>
      </c>
      <c r="D10" s="13" t="inlineStr">
        <is>
          <t>P01</t>
        </is>
      </c>
      <c r="E10" s="13" t="inlineStr">
        <is>
          <t>Karpagambike_seg0044</t>
        </is>
      </c>
      <c r="F10" s="13" t="n">
        <v>3</v>
      </c>
      <c r="G10" s="13" t="inlineStr">
        <is>
          <t>audio/pairwise/Karpagambike_seg0044-finetuned_20s.wav</t>
        </is>
      </c>
      <c r="H10" s="13" t="inlineStr">
        <is>
          <t>audio/pairwise/Karpagambike_seg0044-baseline_20s.wav</t>
        </is>
      </c>
      <c r="I10" s="13" t="inlineStr">
        <is>
          <t>finetuned</t>
        </is>
      </c>
      <c r="J10" s="13" t="inlineStr">
        <is>
          <t>baseline</t>
        </is>
      </c>
      <c r="K10" s="13" t="inlineStr">
        <is>
          <t>A</t>
        </is>
      </c>
      <c r="L10" s="13" t="inlineStr">
        <is>
          <t>A</t>
        </is>
      </c>
      <c r="M10" s="13" t="inlineStr">
        <is>
          <t>A</t>
        </is>
      </c>
      <c r="N10" s="13">
        <f>IF(K10="A", I10, J10)</f>
        <v/>
      </c>
      <c r="O10" s="13">
        <f>IF(L10="A", I10, J10)</f>
        <v/>
      </c>
      <c r="P10" s="13">
        <f>IF(M10="A", I10, J10)</f>
        <v/>
      </c>
      <c r="Q10" s="13" t="n"/>
      <c r="R10" s="13" t="inlineStr">
        <is>
          <t>Vocal</t>
        </is>
      </c>
      <c r="S10" s="13" t="inlineStr">
        <is>
          <t>test</t>
        </is>
      </c>
      <c r="T10" s="13" t="n"/>
    </row>
    <row r="11" ht="15.75" customHeight="1">
      <c r="A11" s="13" t="inlineStr">
        <is>
          <t>PA7FB7E0</t>
        </is>
      </c>
      <c r="B11" s="13">
        <f>VLOOKUP(A11,Table1[[#All],[Participant ID]:[Persona]],7,0)</f>
        <v/>
      </c>
      <c r="C11" s="15" t="inlineStr">
        <is>
          <t>2026-04-04T16:54:13</t>
        </is>
      </c>
      <c r="D11" s="13" t="inlineStr">
        <is>
          <t>P06</t>
        </is>
      </c>
      <c r="E11" s="13" t="inlineStr">
        <is>
          <t>Seshachala_Nayakam_seg0142</t>
        </is>
      </c>
      <c r="F11" s="13" t="n">
        <v>4</v>
      </c>
      <c r="G11" s="13" t="inlineStr">
        <is>
          <t>audio/pairwise/Seshachala_Nayakam_seg0142-finetuned_20s.wav</t>
        </is>
      </c>
      <c r="H11" s="13" t="inlineStr">
        <is>
          <t>audio/pairwise/Seshachala_Nayakam_seg0142-baseline_20s.wav</t>
        </is>
      </c>
      <c r="I11" s="13" t="inlineStr">
        <is>
          <t>finetuned</t>
        </is>
      </c>
      <c r="J11" s="13" t="inlineStr">
        <is>
          <t>baseline</t>
        </is>
      </c>
      <c r="K11" s="13" t="inlineStr">
        <is>
          <t>A</t>
        </is>
      </c>
      <c r="L11" s="13" t="inlineStr">
        <is>
          <t>A</t>
        </is>
      </c>
      <c r="M11" s="13" t="inlineStr">
        <is>
          <t>A</t>
        </is>
      </c>
      <c r="N11" s="13">
        <f>IF(K11="A", I11, J11)</f>
        <v/>
      </c>
      <c r="O11" s="13">
        <f>IF(L11="A", I11, J11)</f>
        <v/>
      </c>
      <c r="P11" s="13">
        <f>IF(M11="A", I11, J11)</f>
        <v/>
      </c>
      <c r="Q11" s="13" t="n"/>
      <c r="R11" s="13" t="inlineStr">
        <is>
          <t>Instrumental - Violin</t>
        </is>
      </c>
      <c r="S11" s="13" t="inlineStr">
        <is>
          <t>test</t>
        </is>
      </c>
      <c r="T11" s="13" t="n"/>
    </row>
    <row r="12" ht="15.75" customHeight="1">
      <c r="A12" s="13" t="inlineStr">
        <is>
          <t>PA7FB7E0</t>
        </is>
      </c>
      <c r="B12" s="13">
        <f>VLOOKUP(A12,Table1[[#All],[Participant ID]:[Persona]],7,0)</f>
        <v/>
      </c>
      <c r="C12" s="15" t="inlineStr">
        <is>
          <t>2026-04-04T16:54:13</t>
        </is>
      </c>
      <c r="D12" s="13" t="inlineStr">
        <is>
          <t>P02</t>
        </is>
      </c>
      <c r="E12" s="13" t="inlineStr">
        <is>
          <t>Raksha_Bettare_seg0201</t>
        </is>
      </c>
      <c r="F12" s="13" t="n">
        <v>5</v>
      </c>
      <c r="G12" s="13" t="inlineStr">
        <is>
          <t>audio/pairwise/Raksha_Bettare_seg0201-baseline_20s.wav</t>
        </is>
      </c>
      <c r="H12" s="13" t="inlineStr">
        <is>
          <t>audio/pairwise/Raksha_Bettare_seg0201-finetuned_20s.wav</t>
        </is>
      </c>
      <c r="I12" s="13" t="inlineStr">
        <is>
          <t>baseline</t>
        </is>
      </c>
      <c r="J12" s="13" t="inlineStr">
        <is>
          <t>finetuned</t>
        </is>
      </c>
      <c r="K12" s="13" t="inlineStr">
        <is>
          <t>B</t>
        </is>
      </c>
      <c r="L12" s="13" t="inlineStr">
        <is>
          <t>B</t>
        </is>
      </c>
      <c r="M12" s="13" t="inlineStr">
        <is>
          <t>B</t>
        </is>
      </c>
      <c r="N12" s="13">
        <f>IF(K12="A", I12, J12)</f>
        <v/>
      </c>
      <c r="O12" s="13">
        <f>IF(L12="A", I12, J12)</f>
        <v/>
      </c>
      <c r="P12" s="13">
        <f>IF(M12="A", I12, J12)</f>
        <v/>
      </c>
      <c r="Q12" s="13" t="n"/>
      <c r="R12" s="13" t="inlineStr">
        <is>
          <t>Vocal</t>
        </is>
      </c>
      <c r="S12" s="13" t="inlineStr">
        <is>
          <t>test</t>
        </is>
      </c>
      <c r="T12" s="13" t="n"/>
    </row>
    <row r="13" ht="15.75" customHeight="1">
      <c r="A13" s="13" t="inlineStr">
        <is>
          <t>PA7FB7E0</t>
        </is>
      </c>
      <c r="B13" s="13">
        <f>VLOOKUP(A13,Table1[[#All],[Participant ID]:[Persona]],7,0)</f>
        <v/>
      </c>
      <c r="C13" s="15" t="inlineStr">
        <is>
          <t>2026-04-04T16:54:13</t>
        </is>
      </c>
      <c r="D13" s="13" t="inlineStr">
        <is>
          <t>P05</t>
        </is>
      </c>
      <c r="E13" s="13" t="inlineStr">
        <is>
          <t>Nannupalimpa_seg0235</t>
        </is>
      </c>
      <c r="F13" s="13" t="n">
        <v>6</v>
      </c>
      <c r="G13" s="13" t="inlineStr">
        <is>
          <t>audio/pairwise/Nannupalimpa_seg0235-finetuned_20s.wav</t>
        </is>
      </c>
      <c r="H13" s="13" t="inlineStr">
        <is>
          <t>audio/pairwise/Nannupalimpa_seg0235-baseline_20s.wav</t>
        </is>
      </c>
      <c r="I13" s="13" t="inlineStr">
        <is>
          <t>finetuned</t>
        </is>
      </c>
      <c r="J13" s="13" t="inlineStr">
        <is>
          <t>baseline</t>
        </is>
      </c>
      <c r="K13" s="13" t="inlineStr">
        <is>
          <t>A</t>
        </is>
      </c>
      <c r="L13" s="13" t="inlineStr">
        <is>
          <t>A</t>
        </is>
      </c>
      <c r="M13" s="13" t="inlineStr">
        <is>
          <t>A</t>
        </is>
      </c>
      <c r="N13" s="13">
        <f>IF(K13="A", I13, J13)</f>
        <v/>
      </c>
      <c r="O13" s="13">
        <f>IF(L13="A", I13, J13)</f>
        <v/>
      </c>
      <c r="P13" s="13">
        <f>IF(M13="A", I13, J13)</f>
        <v/>
      </c>
      <c r="Q13" s="13" t="n"/>
      <c r="R13" s="13" t="inlineStr">
        <is>
          <t>Percussion - Mirudhangam</t>
        </is>
      </c>
      <c r="S13" s="13" t="inlineStr">
        <is>
          <t>test</t>
        </is>
      </c>
      <c r="T13" s="13" t="n"/>
    </row>
    <row r="14" ht="15.75" customHeight="1">
      <c r="A14" s="13" t="inlineStr">
        <is>
          <t>PA61145F</t>
        </is>
      </c>
      <c r="B14" s="13">
        <f>VLOOKUP(A14,Table1[[#All],[Participant ID]:[Persona]],7,0)</f>
        <v/>
      </c>
      <c r="C14" s="15" t="inlineStr">
        <is>
          <t>2026-04-05T02:21:09</t>
        </is>
      </c>
      <c r="D14" s="13" t="inlineStr">
        <is>
          <t>P06</t>
        </is>
      </c>
      <c r="E14" s="13" t="inlineStr">
        <is>
          <t>Seshachala_Nayakam_seg0142</t>
        </is>
      </c>
      <c r="F14" s="13" t="n">
        <v>1</v>
      </c>
      <c r="G14" s="13" t="inlineStr">
        <is>
          <t>audio/pairwise/Seshachala_Nayakam_seg0142-finetuned_20s.wav</t>
        </is>
      </c>
      <c r="H14" s="13" t="inlineStr">
        <is>
          <t>audio/pairwise/Seshachala_Nayakam_seg0142-baseline_20s.wav</t>
        </is>
      </c>
      <c r="I14" s="13" t="inlineStr">
        <is>
          <t>finetuned</t>
        </is>
      </c>
      <c r="J14" s="13" t="inlineStr">
        <is>
          <t>baseline</t>
        </is>
      </c>
      <c r="K14" s="13" t="inlineStr">
        <is>
          <t>A</t>
        </is>
      </c>
      <c r="L14" s="13" t="inlineStr">
        <is>
          <t>A</t>
        </is>
      </c>
      <c r="M14" s="13" t="inlineStr">
        <is>
          <t>A</t>
        </is>
      </c>
      <c r="N14" s="13">
        <f>IF(K14="A", I14, J14)</f>
        <v/>
      </c>
      <c r="O14" s="13">
        <f>IF(L14="A", I14, J14)</f>
        <v/>
      </c>
      <c r="P14" s="13">
        <f>IF(M14="A", I14, J14)</f>
        <v/>
      </c>
      <c r="Q14" s="13" t="n"/>
      <c r="R14" s="13" t="inlineStr">
        <is>
          <t>Instrumental - Violin</t>
        </is>
      </c>
      <c r="S14" s="13" t="inlineStr">
        <is>
          <t>test</t>
        </is>
      </c>
      <c r="T14" s="13" t="n"/>
    </row>
    <row r="15" ht="15.75" customHeight="1">
      <c r="A15" s="13" t="inlineStr">
        <is>
          <t>PA61145F</t>
        </is>
      </c>
      <c r="B15" s="13">
        <f>VLOOKUP(A15,Table1[[#All],[Participant ID]:[Persona]],7,0)</f>
        <v/>
      </c>
      <c r="C15" s="15" t="inlineStr">
        <is>
          <t>2026-04-05T02:21:09</t>
        </is>
      </c>
      <c r="D15" s="13" t="inlineStr">
        <is>
          <t>P04</t>
        </is>
      </c>
      <c r="E15" s="13" t="inlineStr">
        <is>
          <t>Deva_Deva_Jagadeesha_seg0006</t>
        </is>
      </c>
      <c r="F15" s="13" t="n">
        <v>2</v>
      </c>
      <c r="G15" s="13" t="inlineStr">
        <is>
          <t>audio/pairwise/Deva_Deva_Jagadeesha_seg0006-baseline_20s.wav</t>
        </is>
      </c>
      <c r="H15" s="13" t="inlineStr">
        <is>
          <t>audio/pairwise/Deva_Deva_Jagadeesha_seg0006-finetuned_20s.wav</t>
        </is>
      </c>
      <c r="I15" s="13" t="inlineStr">
        <is>
          <t>baseline</t>
        </is>
      </c>
      <c r="J15" s="13" t="inlineStr">
        <is>
          <t>finetuned</t>
        </is>
      </c>
      <c r="K15" s="13" t="inlineStr">
        <is>
          <t>B</t>
        </is>
      </c>
      <c r="L15" s="13" t="inlineStr">
        <is>
          <t>B</t>
        </is>
      </c>
      <c r="M15" s="13" t="inlineStr">
        <is>
          <t>B</t>
        </is>
      </c>
      <c r="N15" s="13">
        <f>IF(K15="A", I15, J15)</f>
        <v/>
      </c>
      <c r="O15" s="13">
        <f>IF(L15="A", I15, J15)</f>
        <v/>
      </c>
      <c r="P15" s="13">
        <f>IF(M15="A", I15, J15)</f>
        <v/>
      </c>
      <c r="Q15" s="13" t="n"/>
      <c r="R15" s="13" t="inlineStr">
        <is>
          <t>Instrumental - Violin</t>
        </is>
      </c>
      <c r="S15" s="13" t="inlineStr">
        <is>
          <t>test</t>
        </is>
      </c>
      <c r="T15" s="13" t="n"/>
    </row>
    <row r="16" ht="15.75" customHeight="1">
      <c r="A16" s="13" t="inlineStr">
        <is>
          <t>PA61145F</t>
        </is>
      </c>
      <c r="B16" s="13">
        <f>VLOOKUP(A16,Table1[[#All],[Participant ID]:[Persona]],7,0)</f>
        <v/>
      </c>
      <c r="C16" s="15" t="inlineStr">
        <is>
          <t>2026-04-05T02:21:09</t>
        </is>
      </c>
      <c r="D16" s="13" t="inlineStr">
        <is>
          <t>P02</t>
        </is>
      </c>
      <c r="E16" s="13" t="inlineStr">
        <is>
          <t>Raksha_Bettare_seg0201</t>
        </is>
      </c>
      <c r="F16" s="13" t="n">
        <v>3</v>
      </c>
      <c r="G16" s="13" t="inlineStr">
        <is>
          <t>audio/pairwise/Raksha_Bettare_seg0201-finetuned_20s.wav</t>
        </is>
      </c>
      <c r="H16" s="13" t="inlineStr">
        <is>
          <t>audio/pairwise/Raksha_Bettare_seg0201-baseline_20s.wav</t>
        </is>
      </c>
      <c r="I16" s="13" t="inlineStr">
        <is>
          <t>finetuned</t>
        </is>
      </c>
      <c r="J16" s="13" t="inlineStr">
        <is>
          <t>baseline</t>
        </is>
      </c>
      <c r="K16" s="13" t="inlineStr">
        <is>
          <t>A</t>
        </is>
      </c>
      <c r="L16" s="13" t="inlineStr">
        <is>
          <t>A</t>
        </is>
      </c>
      <c r="M16" s="13" t="inlineStr">
        <is>
          <t>A</t>
        </is>
      </c>
      <c r="N16" s="13">
        <f>IF(K16="A", I16, J16)</f>
        <v/>
      </c>
      <c r="O16" s="13">
        <f>IF(L16="A", I16, J16)</f>
        <v/>
      </c>
      <c r="P16" s="13">
        <f>IF(M16="A", I16, J16)</f>
        <v/>
      </c>
      <c r="Q16" s="13" t="n"/>
      <c r="R16" s="13" t="inlineStr">
        <is>
          <t>Vocal</t>
        </is>
      </c>
      <c r="S16" s="13" t="inlineStr">
        <is>
          <t>test</t>
        </is>
      </c>
      <c r="T16" s="13" t="n"/>
    </row>
    <row r="17" ht="15.75" customHeight="1">
      <c r="A17" s="13" t="inlineStr">
        <is>
          <t>PA61145F</t>
        </is>
      </c>
      <c r="B17" s="13">
        <f>VLOOKUP(A17,Table1[[#All],[Participant ID]:[Persona]],7,0)</f>
        <v/>
      </c>
      <c r="C17" s="15" t="inlineStr">
        <is>
          <t>2026-04-05T02:21:09</t>
        </is>
      </c>
      <c r="D17" s="13" t="inlineStr">
        <is>
          <t>P05</t>
        </is>
      </c>
      <c r="E17" s="13" t="inlineStr">
        <is>
          <t>Nannupalimpa_seg0235</t>
        </is>
      </c>
      <c r="F17" s="13" t="n">
        <v>4</v>
      </c>
      <c r="G17" s="13" t="inlineStr">
        <is>
          <t>audio/pairwise/Nannupalimpa_seg0235-finetuned_20s.wav</t>
        </is>
      </c>
      <c r="H17" s="13" t="inlineStr">
        <is>
          <t>audio/pairwise/Nannupalimpa_seg0235-baseline_20s.wav</t>
        </is>
      </c>
      <c r="I17" s="13" t="inlineStr">
        <is>
          <t>finetuned</t>
        </is>
      </c>
      <c r="J17" s="13" t="inlineStr">
        <is>
          <t>baseline</t>
        </is>
      </c>
      <c r="K17" s="13" t="inlineStr">
        <is>
          <t>A</t>
        </is>
      </c>
      <c r="L17" s="13" t="inlineStr">
        <is>
          <t>A</t>
        </is>
      </c>
      <c r="M17" s="13" t="inlineStr">
        <is>
          <t>A</t>
        </is>
      </c>
      <c r="N17" s="13">
        <f>IF(K17="A", I17, J17)</f>
        <v/>
      </c>
      <c r="O17" s="13">
        <f>IF(L17="A", I17, J17)</f>
        <v/>
      </c>
      <c r="P17" s="13">
        <f>IF(M17="A", I17, J17)</f>
        <v/>
      </c>
      <c r="Q17" s="13" t="n"/>
      <c r="R17" s="13" t="inlineStr">
        <is>
          <t>Percussion - Mirudhangam</t>
        </is>
      </c>
      <c r="S17" s="13" t="inlineStr">
        <is>
          <t>test</t>
        </is>
      </c>
      <c r="T17" s="13" t="n"/>
    </row>
    <row r="18" ht="15.75" customHeight="1">
      <c r="A18" s="13" t="inlineStr">
        <is>
          <t>PA61145F</t>
        </is>
      </c>
      <c r="B18" s="13">
        <f>VLOOKUP(A18,Table1[[#All],[Participant ID]:[Persona]],7,0)</f>
        <v/>
      </c>
      <c r="C18" s="15" t="inlineStr">
        <is>
          <t>2026-04-05T02:21:09</t>
        </is>
      </c>
      <c r="D18" s="13" t="inlineStr">
        <is>
          <t>P03</t>
        </is>
      </c>
      <c r="E18" s="13" t="inlineStr">
        <is>
          <t>Ramanatham_Bhajeham_seg0029</t>
        </is>
      </c>
      <c r="F18" s="13" t="n">
        <v>5</v>
      </c>
      <c r="G18" s="13" t="inlineStr">
        <is>
          <t>audio/pairwise/Ramanatham_Bhajeham_seg0029-finetuned_20s.wav</t>
        </is>
      </c>
      <c r="H18" s="13" t="inlineStr">
        <is>
          <t>audio/pairwise/Ramanatham_Bhajeham_seg0029-baseline_20s.wav</t>
        </is>
      </c>
      <c r="I18" s="13" t="inlineStr">
        <is>
          <t>finetuned</t>
        </is>
      </c>
      <c r="J18" s="13" t="inlineStr">
        <is>
          <t>baseline</t>
        </is>
      </c>
      <c r="K18" s="13" t="inlineStr">
        <is>
          <t>B</t>
        </is>
      </c>
      <c r="L18" s="13" t="inlineStr">
        <is>
          <t>B</t>
        </is>
      </c>
      <c r="M18" s="13" t="inlineStr">
        <is>
          <t>B</t>
        </is>
      </c>
      <c r="N18" s="13">
        <f>IF(K18="A", I18, J18)</f>
        <v/>
      </c>
      <c r="O18" s="13">
        <f>IF(L18="A", I18, J18)</f>
        <v/>
      </c>
      <c r="P18" s="13">
        <f>IF(M18="A", I18, J18)</f>
        <v/>
      </c>
      <c r="Q18" s="13" t="n"/>
      <c r="R18" s="13" t="inlineStr">
        <is>
          <t>Vocal</t>
        </is>
      </c>
      <c r="S18" s="13" t="inlineStr">
        <is>
          <t>test</t>
        </is>
      </c>
      <c r="T18" s="13" t="n"/>
    </row>
    <row r="19" ht="15.75" customHeight="1">
      <c r="A19" s="13" t="inlineStr">
        <is>
          <t>PA61145F</t>
        </is>
      </c>
      <c r="B19" s="13">
        <f>VLOOKUP(A19,Table1[[#All],[Participant ID]:[Persona]],7,0)</f>
        <v/>
      </c>
      <c r="C19" s="15" t="inlineStr">
        <is>
          <t>2026-04-05T02:21:09</t>
        </is>
      </c>
      <c r="D19" s="13" t="inlineStr">
        <is>
          <t>P01</t>
        </is>
      </c>
      <c r="E19" s="13" t="inlineStr">
        <is>
          <t>Karpagambike_seg0044</t>
        </is>
      </c>
      <c r="F19" s="13" t="n">
        <v>6</v>
      </c>
      <c r="G19" s="13" t="inlineStr">
        <is>
          <t>audio/pairwise/Karpagambike_seg0044-baseline_20s.wav</t>
        </is>
      </c>
      <c r="H19" s="13" t="inlineStr">
        <is>
          <t>audio/pairwise/Karpagambike_seg0044-finetuned_20s.wav</t>
        </is>
      </c>
      <c r="I19" s="13" t="inlineStr">
        <is>
          <t>baseline</t>
        </is>
      </c>
      <c r="J19" s="13" t="inlineStr">
        <is>
          <t>finetuned</t>
        </is>
      </c>
      <c r="K19" s="13" t="inlineStr">
        <is>
          <t>B</t>
        </is>
      </c>
      <c r="L19" s="13" t="inlineStr">
        <is>
          <t>B</t>
        </is>
      </c>
      <c r="M19" s="13" t="inlineStr">
        <is>
          <t>B</t>
        </is>
      </c>
      <c r="N19" s="13">
        <f>IF(K19="A", I19, J19)</f>
        <v/>
      </c>
      <c r="O19" s="13">
        <f>IF(L19="A", I19, J19)</f>
        <v/>
      </c>
      <c r="P19" s="13">
        <f>IF(M19="A", I19, J19)</f>
        <v/>
      </c>
      <c r="Q19" s="13" t="n"/>
      <c r="R19" s="13" t="inlineStr">
        <is>
          <t>Vocal</t>
        </is>
      </c>
      <c r="S19" s="13" t="inlineStr">
        <is>
          <t>test</t>
        </is>
      </c>
      <c r="T19" s="13" t="n"/>
    </row>
    <row r="20" ht="15.75" customHeight="1">
      <c r="A20" s="13" t="inlineStr">
        <is>
          <t>PA56F0AC</t>
        </is>
      </c>
      <c r="B20" s="13">
        <f>VLOOKUP(A20,Table1[[#All],[Participant ID]:[Persona]],7,0)</f>
        <v/>
      </c>
      <c r="C20" s="15" t="inlineStr">
        <is>
          <t>2026-04-05T04:51:17</t>
        </is>
      </c>
      <c r="D20" s="13" t="inlineStr">
        <is>
          <t>P01</t>
        </is>
      </c>
      <c r="E20" s="13" t="inlineStr">
        <is>
          <t>Karpagambike_seg0044</t>
        </is>
      </c>
      <c r="F20" s="13" t="n">
        <v>1</v>
      </c>
      <c r="G20" s="13" t="inlineStr">
        <is>
          <t>audio/pairwise/Karpagambike_seg0044-finetuned_20s.wav</t>
        </is>
      </c>
      <c r="H20" s="13" t="inlineStr">
        <is>
          <t>audio/pairwise/Karpagambike_seg0044-baseline_20s.wav</t>
        </is>
      </c>
      <c r="I20" s="13" t="inlineStr">
        <is>
          <t>finetuned</t>
        </is>
      </c>
      <c r="J20" s="13" t="inlineStr">
        <is>
          <t>baseline</t>
        </is>
      </c>
      <c r="K20" s="13" t="inlineStr">
        <is>
          <t>A</t>
        </is>
      </c>
      <c r="L20" s="13" t="inlineStr">
        <is>
          <t>A</t>
        </is>
      </c>
      <c r="M20" s="13" t="inlineStr">
        <is>
          <t>A</t>
        </is>
      </c>
      <c r="N20" s="13">
        <f>IF(K20="A", I20, J20)</f>
        <v/>
      </c>
      <c r="O20" s="13">
        <f>IF(L20="A", I20, J20)</f>
        <v/>
      </c>
      <c r="P20" s="13">
        <f>IF(M20="A", I20, J20)</f>
        <v/>
      </c>
      <c r="Q20" s="13" t="n"/>
      <c r="R20" s="13" t="inlineStr">
        <is>
          <t>Vocal</t>
        </is>
      </c>
      <c r="S20" s="13" t="inlineStr">
        <is>
          <t>test</t>
        </is>
      </c>
      <c r="T20" s="13" t="n"/>
    </row>
    <row r="21" ht="15.75" customHeight="1">
      <c r="A21" s="13" t="inlineStr">
        <is>
          <t>PA56F0AC</t>
        </is>
      </c>
      <c r="B21" s="13">
        <f>VLOOKUP(A21,Table1[[#All],[Participant ID]:[Persona]],7,0)</f>
        <v/>
      </c>
      <c r="C21" s="15" t="inlineStr">
        <is>
          <t>2026-04-05T04:51:17</t>
        </is>
      </c>
      <c r="D21" s="13" t="inlineStr">
        <is>
          <t>P02</t>
        </is>
      </c>
      <c r="E21" s="13" t="inlineStr">
        <is>
          <t>Raksha_Bettare_seg0201</t>
        </is>
      </c>
      <c r="F21" s="13" t="n">
        <v>2</v>
      </c>
      <c r="G21" s="13" t="inlineStr">
        <is>
          <t>audio/pairwise/Raksha_Bettare_seg0201-finetuned_20s.wav</t>
        </is>
      </c>
      <c r="H21" s="13" t="inlineStr">
        <is>
          <t>audio/pairwise/Raksha_Bettare_seg0201-baseline_20s.wav</t>
        </is>
      </c>
      <c r="I21" s="13" t="inlineStr">
        <is>
          <t>finetuned</t>
        </is>
      </c>
      <c r="J21" s="13" t="inlineStr">
        <is>
          <t>baseline</t>
        </is>
      </c>
      <c r="K21" s="13" t="inlineStr">
        <is>
          <t>B</t>
        </is>
      </c>
      <c r="L21" s="13" t="inlineStr">
        <is>
          <t>A</t>
        </is>
      </c>
      <c r="M21" s="13" t="inlineStr">
        <is>
          <t>A</t>
        </is>
      </c>
      <c r="N21" s="13">
        <f>IF(K21="A", I21, J21)</f>
        <v/>
      </c>
      <c r="O21" s="13">
        <f>IF(L21="A", I21, J21)</f>
        <v/>
      </c>
      <c r="P21" s="13">
        <f>IF(M21="A", I21, J21)</f>
        <v/>
      </c>
      <c r="Q21" s="13" t="n"/>
      <c r="R21" s="13" t="inlineStr">
        <is>
          <t>Vocal</t>
        </is>
      </c>
      <c r="S21" s="13" t="inlineStr">
        <is>
          <t>test</t>
        </is>
      </c>
      <c r="T21" s="13" t="n"/>
    </row>
    <row r="22" ht="15.75" customHeight="1">
      <c r="A22" s="13" t="inlineStr">
        <is>
          <t>PA56F0AC</t>
        </is>
      </c>
      <c r="B22" s="13">
        <f>VLOOKUP(A22,Table1[[#All],[Participant ID]:[Persona]],7,0)</f>
        <v/>
      </c>
      <c r="C22" s="15" t="inlineStr">
        <is>
          <t>2026-04-05T04:51:17</t>
        </is>
      </c>
      <c r="D22" s="13" t="inlineStr">
        <is>
          <t>P03</t>
        </is>
      </c>
      <c r="E22" s="13" t="inlineStr">
        <is>
          <t>Ramanatham_Bhajeham_seg0029</t>
        </is>
      </c>
      <c r="F22" s="13" t="n">
        <v>3</v>
      </c>
      <c r="G22" s="13" t="inlineStr">
        <is>
          <t>audio/pairwise/Ramanatham_Bhajeham_seg0029-finetuned_20s.wav</t>
        </is>
      </c>
      <c r="H22" s="13" t="inlineStr">
        <is>
          <t>audio/pairwise/Ramanatham_Bhajeham_seg0029-baseline_20s.wav</t>
        </is>
      </c>
      <c r="I22" s="13" t="inlineStr">
        <is>
          <t>finetuned</t>
        </is>
      </c>
      <c r="J22" s="13" t="inlineStr">
        <is>
          <t>baseline</t>
        </is>
      </c>
      <c r="K22" s="13" t="inlineStr">
        <is>
          <t>B</t>
        </is>
      </c>
      <c r="L22" s="13" t="inlineStr">
        <is>
          <t>A</t>
        </is>
      </c>
      <c r="M22" s="13" t="inlineStr">
        <is>
          <t>A</t>
        </is>
      </c>
      <c r="N22" s="13">
        <f>IF(K22="A", I22, J22)</f>
        <v/>
      </c>
      <c r="O22" s="13">
        <f>IF(L22="A", I22, J22)</f>
        <v/>
      </c>
      <c r="P22" s="13">
        <f>IF(M22="A", I22, J22)</f>
        <v/>
      </c>
      <c r="Q22" s="13" t="n"/>
      <c r="R22" s="13" t="inlineStr">
        <is>
          <t>Vocal</t>
        </is>
      </c>
      <c r="S22" s="13" t="inlineStr">
        <is>
          <t>test</t>
        </is>
      </c>
      <c r="T22" s="13" t="n"/>
    </row>
    <row r="23" ht="15.75" customHeight="1">
      <c r="A23" s="13" t="inlineStr">
        <is>
          <t>PA56F0AC</t>
        </is>
      </c>
      <c r="B23" s="13">
        <f>VLOOKUP(A23,Table1[[#All],[Participant ID]:[Persona]],7,0)</f>
        <v/>
      </c>
      <c r="C23" s="15" t="inlineStr">
        <is>
          <t>2026-04-05T04:51:17</t>
        </is>
      </c>
      <c r="D23" s="13" t="inlineStr">
        <is>
          <t>P05</t>
        </is>
      </c>
      <c r="E23" s="13" t="inlineStr">
        <is>
          <t>Nannupalimpa_seg0235</t>
        </is>
      </c>
      <c r="F23" s="13" t="n">
        <v>4</v>
      </c>
      <c r="G23" s="13" t="inlineStr">
        <is>
          <t>audio/pairwise/Nannupalimpa_seg0235-baseline_20s.wav</t>
        </is>
      </c>
      <c r="H23" s="13" t="inlineStr">
        <is>
          <t>audio/pairwise/Nannupalimpa_seg0235-finetuned_20s.wav</t>
        </is>
      </c>
      <c r="I23" s="13" t="inlineStr">
        <is>
          <t>baseline</t>
        </is>
      </c>
      <c r="J23" s="13" t="inlineStr">
        <is>
          <t>finetuned</t>
        </is>
      </c>
      <c r="K23" s="13" t="inlineStr">
        <is>
          <t>B</t>
        </is>
      </c>
      <c r="L23" s="13" t="inlineStr">
        <is>
          <t>B</t>
        </is>
      </c>
      <c r="M23" s="13" t="inlineStr">
        <is>
          <t>B</t>
        </is>
      </c>
      <c r="N23" s="13">
        <f>IF(K23="A", I23, J23)</f>
        <v/>
      </c>
      <c r="O23" s="13">
        <f>IF(L23="A", I23, J23)</f>
        <v/>
      </c>
      <c r="P23" s="13">
        <f>IF(M23="A", I23, J23)</f>
        <v/>
      </c>
      <c r="Q23" s="13" t="n"/>
      <c r="R23" s="13" t="inlineStr">
        <is>
          <t>Percussion - Mirudhangam</t>
        </is>
      </c>
      <c r="S23" s="13" t="inlineStr">
        <is>
          <t>test</t>
        </is>
      </c>
      <c r="T23" s="13" t="n"/>
    </row>
    <row r="24" ht="15.75" customHeight="1">
      <c r="A24" s="13" t="inlineStr">
        <is>
          <t>PA56F0AC</t>
        </is>
      </c>
      <c r="B24" s="13">
        <f>VLOOKUP(A24,Table1[[#All],[Participant ID]:[Persona]],7,0)</f>
        <v/>
      </c>
      <c r="C24" s="15" t="inlineStr">
        <is>
          <t>2026-04-05T04:51:17</t>
        </is>
      </c>
      <c r="D24" s="13" t="inlineStr">
        <is>
          <t>P04</t>
        </is>
      </c>
      <c r="E24" s="13" t="inlineStr">
        <is>
          <t>Deva_Deva_Jagadeesha_seg0006</t>
        </is>
      </c>
      <c r="F24" s="13" t="n">
        <v>5</v>
      </c>
      <c r="G24" s="13" t="inlineStr">
        <is>
          <t>audio/pairwise/Deva_Deva_Jagadeesha_seg0006-baseline_20s.wav</t>
        </is>
      </c>
      <c r="H24" s="13" t="inlineStr">
        <is>
          <t>audio/pairwise/Deva_Deva_Jagadeesha_seg0006-finetuned_20s.wav</t>
        </is>
      </c>
      <c r="I24" s="13" t="inlineStr">
        <is>
          <t>baseline</t>
        </is>
      </c>
      <c r="J24" s="13" t="inlineStr">
        <is>
          <t>finetuned</t>
        </is>
      </c>
      <c r="K24" s="13" t="inlineStr">
        <is>
          <t>B</t>
        </is>
      </c>
      <c r="L24" s="13" t="inlineStr">
        <is>
          <t>B</t>
        </is>
      </c>
      <c r="M24" s="13" t="inlineStr">
        <is>
          <t>B</t>
        </is>
      </c>
      <c r="N24" s="13">
        <f>IF(K24="A", I24, J24)</f>
        <v/>
      </c>
      <c r="O24" s="13">
        <f>IF(L24="A", I24, J24)</f>
        <v/>
      </c>
      <c r="P24" s="13">
        <f>IF(M24="A", I24, J24)</f>
        <v/>
      </c>
      <c r="Q24" s="13" t="n"/>
      <c r="R24" s="13" t="inlineStr">
        <is>
          <t>Instrumental - Violin</t>
        </is>
      </c>
      <c r="S24" s="13" t="inlineStr">
        <is>
          <t>test</t>
        </is>
      </c>
      <c r="T24" s="13" t="n"/>
    </row>
    <row r="25" ht="15.75" customHeight="1">
      <c r="A25" s="13" t="inlineStr">
        <is>
          <t>PA56F0AC</t>
        </is>
      </c>
      <c r="B25" s="13">
        <f>VLOOKUP(A25,Table1[[#All],[Participant ID]:[Persona]],7,0)</f>
        <v/>
      </c>
      <c r="C25" s="15" t="inlineStr">
        <is>
          <t>2026-04-05T04:51:17</t>
        </is>
      </c>
      <c r="D25" s="13" t="inlineStr">
        <is>
          <t>P06</t>
        </is>
      </c>
      <c r="E25" s="13" t="inlineStr">
        <is>
          <t>Seshachala_Nayakam_seg0142</t>
        </is>
      </c>
      <c r="F25" s="13" t="n">
        <v>6</v>
      </c>
      <c r="G25" s="13" t="inlineStr">
        <is>
          <t>audio/pairwise/Seshachala_Nayakam_seg0142-baseline_20s.wav</t>
        </is>
      </c>
      <c r="H25" s="13" t="inlineStr">
        <is>
          <t>audio/pairwise/Seshachala_Nayakam_seg0142-finetuned_20s.wav</t>
        </is>
      </c>
      <c r="I25" s="13" t="inlineStr">
        <is>
          <t>baseline</t>
        </is>
      </c>
      <c r="J25" s="13" t="inlineStr">
        <is>
          <t>finetuned</t>
        </is>
      </c>
      <c r="K25" s="13" t="inlineStr">
        <is>
          <t>B</t>
        </is>
      </c>
      <c r="L25" s="13" t="inlineStr">
        <is>
          <t>B</t>
        </is>
      </c>
      <c r="M25" s="13" t="inlineStr">
        <is>
          <t>B</t>
        </is>
      </c>
      <c r="N25" s="13">
        <f>IF(K25="A", I25, J25)</f>
        <v/>
      </c>
      <c r="O25" s="13">
        <f>IF(L25="A", I25, J25)</f>
        <v/>
      </c>
      <c r="P25" s="13">
        <f>IF(M25="A", I25, J25)</f>
        <v/>
      </c>
      <c r="Q25" s="13" t="n"/>
      <c r="R25" s="13" t="inlineStr">
        <is>
          <t>Instrumental - Violin</t>
        </is>
      </c>
      <c r="S25" s="13" t="inlineStr">
        <is>
          <t>test</t>
        </is>
      </c>
      <c r="T25" s="13" t="n"/>
    </row>
    <row r="26" ht="15.75" customHeight="1">
      <c r="A26" s="13" t="inlineStr">
        <is>
          <t>PA817AA9</t>
        </is>
      </c>
      <c r="B26" s="13">
        <f>VLOOKUP(A26,Table1[[#All],[Participant ID]:[Persona]],7,0)</f>
        <v/>
      </c>
      <c r="C26" s="15" t="inlineStr">
        <is>
          <t>2026-04-05T05:31:35</t>
        </is>
      </c>
      <c r="D26" s="13" t="inlineStr">
        <is>
          <t>P01</t>
        </is>
      </c>
      <c r="E26" s="13" t="inlineStr">
        <is>
          <t>Karpagambike_seg0044</t>
        </is>
      </c>
      <c r="F26" s="13" t="n">
        <v>1</v>
      </c>
      <c r="G26" s="13" t="inlineStr">
        <is>
          <t>audio/pairwise/Karpagambike_seg0044-baseline_20s.wav</t>
        </is>
      </c>
      <c r="H26" s="13" t="inlineStr">
        <is>
          <t>audio/pairwise/Karpagambike_seg0044-finetuned_20s.wav</t>
        </is>
      </c>
      <c r="I26" s="13" t="inlineStr">
        <is>
          <t>baseline</t>
        </is>
      </c>
      <c r="J26" s="13" t="inlineStr">
        <is>
          <t>finetuned</t>
        </is>
      </c>
      <c r="K26" s="13" t="inlineStr">
        <is>
          <t>B</t>
        </is>
      </c>
      <c r="L26" s="13" t="inlineStr">
        <is>
          <t>B</t>
        </is>
      </c>
      <c r="M26" s="13" t="inlineStr">
        <is>
          <t>B</t>
        </is>
      </c>
      <c r="N26" s="13">
        <f>IF(K26="A", I26, J26)</f>
        <v/>
      </c>
      <c r="O26" s="13">
        <f>IF(L26="A", I26, J26)</f>
        <v/>
      </c>
      <c r="P26" s="13">
        <f>IF(M26="A", I26, J26)</f>
        <v/>
      </c>
      <c r="Q26" s="13" t="n"/>
      <c r="R26" s="13" t="inlineStr">
        <is>
          <t>Vocal</t>
        </is>
      </c>
      <c r="S26" s="13" t="inlineStr">
        <is>
          <t>test</t>
        </is>
      </c>
      <c r="T26" s="13" t="n"/>
    </row>
    <row r="27" ht="15.75" customHeight="1">
      <c r="A27" s="13" t="inlineStr">
        <is>
          <t>PA817AA9</t>
        </is>
      </c>
      <c r="B27" s="13">
        <f>VLOOKUP(A27,Table1[[#All],[Participant ID]:[Persona]],7,0)</f>
        <v/>
      </c>
      <c r="C27" s="15" t="inlineStr">
        <is>
          <t>2026-04-05T05:31:35</t>
        </is>
      </c>
      <c r="D27" s="13" t="inlineStr">
        <is>
          <t>P05</t>
        </is>
      </c>
      <c r="E27" s="13" t="inlineStr">
        <is>
          <t>Nannupalimpa_seg0235</t>
        </is>
      </c>
      <c r="F27" s="13" t="n">
        <v>2</v>
      </c>
      <c r="G27" s="13" t="inlineStr">
        <is>
          <t>audio/pairwise/Nannupalimpa_seg0235-finetuned_20s.wav</t>
        </is>
      </c>
      <c r="H27" s="13" t="inlineStr">
        <is>
          <t>audio/pairwise/Nannupalimpa_seg0235-baseline_20s.wav</t>
        </is>
      </c>
      <c r="I27" s="13" t="inlineStr">
        <is>
          <t>finetuned</t>
        </is>
      </c>
      <c r="J27" s="13" t="inlineStr">
        <is>
          <t>baseline</t>
        </is>
      </c>
      <c r="K27" s="13" t="inlineStr">
        <is>
          <t>A</t>
        </is>
      </c>
      <c r="L27" s="13" t="inlineStr">
        <is>
          <t>A</t>
        </is>
      </c>
      <c r="M27" s="13" t="inlineStr">
        <is>
          <t>A</t>
        </is>
      </c>
      <c r="N27" s="13">
        <f>IF(K27="A", I27, J27)</f>
        <v/>
      </c>
      <c r="O27" s="13">
        <f>IF(L27="A", I27, J27)</f>
        <v/>
      </c>
      <c r="P27" s="13">
        <f>IF(M27="A", I27, J27)</f>
        <v/>
      </c>
      <c r="Q27" s="13" t="n"/>
      <c r="R27" s="13" t="inlineStr">
        <is>
          <t>Percussion - Mirudhangam</t>
        </is>
      </c>
      <c r="S27" s="13" t="inlineStr">
        <is>
          <t>test</t>
        </is>
      </c>
      <c r="T27" s="13" t="n"/>
    </row>
    <row r="28" ht="15.75" customHeight="1">
      <c r="A28" s="13" t="inlineStr">
        <is>
          <t>PA817AA9</t>
        </is>
      </c>
      <c r="B28" s="13">
        <f>VLOOKUP(A28,Table1[[#All],[Participant ID]:[Persona]],7,0)</f>
        <v/>
      </c>
      <c r="C28" s="15" t="inlineStr">
        <is>
          <t>2026-04-05T05:31:35</t>
        </is>
      </c>
      <c r="D28" s="13" t="inlineStr">
        <is>
          <t>P04</t>
        </is>
      </c>
      <c r="E28" s="13" t="inlineStr">
        <is>
          <t>Deva_Deva_Jagadeesha_seg0006</t>
        </is>
      </c>
      <c r="F28" s="13" t="n">
        <v>3</v>
      </c>
      <c r="G28" s="13" t="inlineStr">
        <is>
          <t>audio/pairwise/Deva_Deva_Jagadeesha_seg0006-baseline_20s.wav</t>
        </is>
      </c>
      <c r="H28" s="13" t="inlineStr">
        <is>
          <t>audio/pairwise/Deva_Deva_Jagadeesha_seg0006-finetuned_20s.wav</t>
        </is>
      </c>
      <c r="I28" s="13" t="inlineStr">
        <is>
          <t>baseline</t>
        </is>
      </c>
      <c r="J28" s="13" t="inlineStr">
        <is>
          <t>finetuned</t>
        </is>
      </c>
      <c r="K28" s="13" t="inlineStr">
        <is>
          <t>B</t>
        </is>
      </c>
      <c r="L28" s="13" t="inlineStr">
        <is>
          <t>B</t>
        </is>
      </c>
      <c r="M28" s="13" t="inlineStr">
        <is>
          <t>B</t>
        </is>
      </c>
      <c r="N28" s="13">
        <f>IF(K28="A", I28, J28)</f>
        <v/>
      </c>
      <c r="O28" s="13">
        <f>IF(L28="A", I28, J28)</f>
        <v/>
      </c>
      <c r="P28" s="13">
        <f>IF(M28="A", I28, J28)</f>
        <v/>
      </c>
      <c r="Q28" s="13" t="n"/>
      <c r="R28" s="13" t="inlineStr">
        <is>
          <t>Instrumental - Violin</t>
        </is>
      </c>
      <c r="S28" s="13" t="inlineStr">
        <is>
          <t>test</t>
        </is>
      </c>
      <c r="T28" s="13" t="n"/>
    </row>
    <row r="29" ht="15.75" customHeight="1">
      <c r="A29" s="13" t="inlineStr">
        <is>
          <t>PA817AA9</t>
        </is>
      </c>
      <c r="B29" s="13">
        <f>VLOOKUP(A29,Table1[[#All],[Participant ID]:[Persona]],7,0)</f>
        <v/>
      </c>
      <c r="C29" s="15" t="inlineStr">
        <is>
          <t>2026-04-05T05:31:35</t>
        </is>
      </c>
      <c r="D29" s="13" t="inlineStr">
        <is>
          <t>P03</t>
        </is>
      </c>
      <c r="E29" s="13" t="inlineStr">
        <is>
          <t>Ramanatham_Bhajeham_seg0029</t>
        </is>
      </c>
      <c r="F29" s="13" t="n">
        <v>4</v>
      </c>
      <c r="G29" s="13" t="inlineStr">
        <is>
          <t>audio/pairwise/Ramanatham_Bhajeham_seg0029-finetuned_20s.wav</t>
        </is>
      </c>
      <c r="H29" s="13" t="inlineStr">
        <is>
          <t>audio/pairwise/Ramanatham_Bhajeham_seg0029-baseline_20s.wav</t>
        </is>
      </c>
      <c r="I29" s="13" t="inlineStr">
        <is>
          <t>finetuned</t>
        </is>
      </c>
      <c r="J29" s="13" t="inlineStr">
        <is>
          <t>baseline</t>
        </is>
      </c>
      <c r="K29" s="13" t="inlineStr">
        <is>
          <t>B</t>
        </is>
      </c>
      <c r="L29" s="13" t="inlineStr">
        <is>
          <t>A</t>
        </is>
      </c>
      <c r="M29" s="13" t="inlineStr">
        <is>
          <t>A</t>
        </is>
      </c>
      <c r="N29" s="13">
        <f>IF(K29="A", I29, J29)</f>
        <v/>
      </c>
      <c r="O29" s="13">
        <f>IF(L29="A", I29, J29)</f>
        <v/>
      </c>
      <c r="P29" s="13">
        <f>IF(M29="A", I29, J29)</f>
        <v/>
      </c>
      <c r="Q29" s="13" t="n"/>
      <c r="R29" s="13" t="inlineStr">
        <is>
          <t>Vocal</t>
        </is>
      </c>
      <c r="S29" s="13" t="inlineStr">
        <is>
          <t>test</t>
        </is>
      </c>
      <c r="T29" s="13" t="n"/>
    </row>
    <row r="30" ht="15.75" customHeight="1">
      <c r="A30" s="13" t="inlineStr">
        <is>
          <t>PA817AA9</t>
        </is>
      </c>
      <c r="B30" s="13">
        <f>VLOOKUP(A30,Table1[[#All],[Participant ID]:[Persona]],7,0)</f>
        <v/>
      </c>
      <c r="C30" s="15" t="inlineStr">
        <is>
          <t>2026-04-05T05:31:35</t>
        </is>
      </c>
      <c r="D30" s="13" t="inlineStr">
        <is>
          <t>P02</t>
        </is>
      </c>
      <c r="E30" s="13" t="inlineStr">
        <is>
          <t>Raksha_Bettare_seg0201</t>
        </is>
      </c>
      <c r="F30" s="13" t="n">
        <v>5</v>
      </c>
      <c r="G30" s="13" t="inlineStr">
        <is>
          <t>audio/pairwise/Raksha_Bettare_seg0201-baseline_20s.wav</t>
        </is>
      </c>
      <c r="H30" s="13" t="inlineStr">
        <is>
          <t>audio/pairwise/Raksha_Bettare_seg0201-finetuned_20s.wav</t>
        </is>
      </c>
      <c r="I30" s="13" t="inlineStr">
        <is>
          <t>baseline</t>
        </is>
      </c>
      <c r="J30" s="13" t="inlineStr">
        <is>
          <t>finetuned</t>
        </is>
      </c>
      <c r="K30" s="13" t="inlineStr">
        <is>
          <t>B</t>
        </is>
      </c>
      <c r="L30" s="13" t="inlineStr">
        <is>
          <t>B</t>
        </is>
      </c>
      <c r="M30" s="13" t="inlineStr">
        <is>
          <t>B</t>
        </is>
      </c>
      <c r="N30" s="13">
        <f>IF(K30="A", I30, J30)</f>
        <v/>
      </c>
      <c r="O30" s="13">
        <f>IF(L30="A", I30, J30)</f>
        <v/>
      </c>
      <c r="P30" s="13">
        <f>IF(M30="A", I30, J30)</f>
        <v/>
      </c>
      <c r="Q30" s="13" t="n"/>
      <c r="R30" s="13" t="inlineStr">
        <is>
          <t>Vocal</t>
        </is>
      </c>
      <c r="S30" s="13" t="inlineStr">
        <is>
          <t>test</t>
        </is>
      </c>
      <c r="T30" s="13" t="n"/>
    </row>
    <row r="31" ht="15.75" customHeight="1">
      <c r="A31" s="13" t="inlineStr">
        <is>
          <t>PA817AA9</t>
        </is>
      </c>
      <c r="B31" s="13">
        <f>VLOOKUP(A31,Table1[[#All],[Participant ID]:[Persona]],7,0)</f>
        <v/>
      </c>
      <c r="C31" s="15" t="inlineStr">
        <is>
          <t>2026-04-05T05:31:35</t>
        </is>
      </c>
      <c r="D31" s="13" t="inlineStr">
        <is>
          <t>P06</t>
        </is>
      </c>
      <c r="E31" s="13" t="inlineStr">
        <is>
          <t>Seshachala_Nayakam_seg0142</t>
        </is>
      </c>
      <c r="F31" s="13" t="n">
        <v>6</v>
      </c>
      <c r="G31" s="13" t="inlineStr">
        <is>
          <t>audio/pairwise/Seshachala_Nayakam_seg0142-finetuned_20s.wav</t>
        </is>
      </c>
      <c r="H31" s="13" t="inlineStr">
        <is>
          <t>audio/pairwise/Seshachala_Nayakam_seg0142-baseline_20s.wav</t>
        </is>
      </c>
      <c r="I31" s="13" t="inlineStr">
        <is>
          <t>finetuned</t>
        </is>
      </c>
      <c r="J31" s="13" t="inlineStr">
        <is>
          <t>baseline</t>
        </is>
      </c>
      <c r="K31" s="13" t="inlineStr">
        <is>
          <t>A</t>
        </is>
      </c>
      <c r="L31" s="13" t="inlineStr">
        <is>
          <t>A</t>
        </is>
      </c>
      <c r="M31" s="13" t="inlineStr">
        <is>
          <t>A</t>
        </is>
      </c>
      <c r="N31" s="13">
        <f>IF(K31="A", I31, J31)</f>
        <v/>
      </c>
      <c r="O31" s="13">
        <f>IF(L31="A", I31, J31)</f>
        <v/>
      </c>
      <c r="P31" s="13">
        <f>IF(M31="A", I31, J31)</f>
        <v/>
      </c>
      <c r="Q31" s="13" t="n"/>
      <c r="R31" s="13" t="inlineStr">
        <is>
          <t>Instrumental - Violin</t>
        </is>
      </c>
      <c r="S31" s="13" t="inlineStr">
        <is>
          <t>test</t>
        </is>
      </c>
      <c r="T31" s="13" t="n"/>
    </row>
    <row r="32" ht="15.75" customHeight="1">
      <c r="A32" s="13" t="inlineStr">
        <is>
          <t>PAC716A3</t>
        </is>
      </c>
      <c r="B32" s="13">
        <f>VLOOKUP(A32,Table1[[#All],[Participant ID]:[Persona]],7,0)</f>
        <v/>
      </c>
      <c r="C32" s="15" t="inlineStr">
        <is>
          <t>2026-04-05T07:22:17</t>
        </is>
      </c>
      <c r="D32" s="13" t="inlineStr">
        <is>
          <t>P03</t>
        </is>
      </c>
      <c r="E32" s="13" t="inlineStr">
        <is>
          <t>Ramanatham_Bhajeham_seg0029</t>
        </is>
      </c>
      <c r="F32" s="13" t="n">
        <v>1</v>
      </c>
      <c r="G32" s="13" t="inlineStr">
        <is>
          <t>audio/pairwise/Ramanatham_Bhajeham_seg0029-finetuned_20s.wav</t>
        </is>
      </c>
      <c r="H32" s="13" t="inlineStr">
        <is>
          <t>audio/pairwise/Ramanatham_Bhajeham_seg0029-baseline_20s.wav</t>
        </is>
      </c>
      <c r="I32" s="13" t="inlineStr">
        <is>
          <t>finetuned</t>
        </is>
      </c>
      <c r="J32" s="13" t="inlineStr">
        <is>
          <t>baseline</t>
        </is>
      </c>
      <c r="K32" s="13" t="inlineStr">
        <is>
          <t>A</t>
        </is>
      </c>
      <c r="L32" s="13" t="inlineStr">
        <is>
          <t>A</t>
        </is>
      </c>
      <c r="M32" s="13" t="inlineStr">
        <is>
          <t>A</t>
        </is>
      </c>
      <c r="N32" s="13">
        <f>IF(K32="A", I32, J32)</f>
        <v/>
      </c>
      <c r="O32" s="13">
        <f>IF(L32="A", I32, J32)</f>
        <v/>
      </c>
      <c r="P32" s="13">
        <f>IF(M32="A", I32, J32)</f>
        <v/>
      </c>
      <c r="Q32" s="13" t="n"/>
      <c r="R32" s="13" t="inlineStr">
        <is>
          <t>Vocal</t>
        </is>
      </c>
      <c r="S32" s="13" t="inlineStr">
        <is>
          <t>test</t>
        </is>
      </c>
      <c r="T32" s="13" t="n"/>
    </row>
    <row r="33" ht="15.75" customHeight="1">
      <c r="A33" s="13" t="inlineStr">
        <is>
          <t>PAC716A3</t>
        </is>
      </c>
      <c r="B33" s="13">
        <f>VLOOKUP(A33,Table1[[#All],[Participant ID]:[Persona]],7,0)</f>
        <v/>
      </c>
      <c r="C33" s="15" t="inlineStr">
        <is>
          <t>2026-04-05T07:22:17</t>
        </is>
      </c>
      <c r="D33" s="13" t="inlineStr">
        <is>
          <t>P06</t>
        </is>
      </c>
      <c r="E33" s="13" t="inlineStr">
        <is>
          <t>Seshachala_Nayakam_seg0142</t>
        </is>
      </c>
      <c r="F33" s="13" t="n">
        <v>2</v>
      </c>
      <c r="G33" s="13" t="inlineStr">
        <is>
          <t>audio/pairwise/Seshachala_Nayakam_seg0142-finetuned_20s.wav</t>
        </is>
      </c>
      <c r="H33" s="13" t="inlineStr">
        <is>
          <t>audio/pairwise/Seshachala_Nayakam_seg0142-baseline_20s.wav</t>
        </is>
      </c>
      <c r="I33" s="13" t="inlineStr">
        <is>
          <t>finetuned</t>
        </is>
      </c>
      <c r="J33" s="13" t="inlineStr">
        <is>
          <t>baseline</t>
        </is>
      </c>
      <c r="K33" s="13" t="inlineStr">
        <is>
          <t>A</t>
        </is>
      </c>
      <c r="L33" s="13" t="inlineStr">
        <is>
          <t>A</t>
        </is>
      </c>
      <c r="M33" s="13" t="inlineStr">
        <is>
          <t>B</t>
        </is>
      </c>
      <c r="N33" s="13">
        <f>IF(K33="A", I33, J33)</f>
        <v/>
      </c>
      <c r="O33" s="13">
        <f>IF(L33="A", I33, J33)</f>
        <v/>
      </c>
      <c r="P33" s="13">
        <f>IF(M33="A", I33, J33)</f>
        <v/>
      </c>
      <c r="Q33" s="13" t="n"/>
      <c r="R33" s="13" t="inlineStr">
        <is>
          <t>Instrumental - Violin</t>
        </is>
      </c>
      <c r="S33" s="13" t="inlineStr">
        <is>
          <t>test</t>
        </is>
      </c>
      <c r="T33" s="13" t="n"/>
    </row>
    <row r="34" ht="15.75" customHeight="1">
      <c r="A34" s="13" t="inlineStr">
        <is>
          <t>PAC716A3</t>
        </is>
      </c>
      <c r="B34" s="13">
        <f>VLOOKUP(A34,Table1[[#All],[Participant ID]:[Persona]],7,0)</f>
        <v/>
      </c>
      <c r="C34" s="15" t="inlineStr">
        <is>
          <t>2026-04-05T07:22:17</t>
        </is>
      </c>
      <c r="D34" s="13" t="inlineStr">
        <is>
          <t>P05</t>
        </is>
      </c>
      <c r="E34" s="13" t="inlineStr">
        <is>
          <t>Nannupalimpa_seg0235</t>
        </is>
      </c>
      <c r="F34" s="13" t="n">
        <v>3</v>
      </c>
      <c r="G34" s="13" t="inlineStr">
        <is>
          <t>audio/pairwise/Nannupalimpa_seg0235-baseline_20s.wav</t>
        </is>
      </c>
      <c r="H34" s="13" t="inlineStr">
        <is>
          <t>audio/pairwise/Nannupalimpa_seg0235-finetuned_20s.wav</t>
        </is>
      </c>
      <c r="I34" s="13" t="inlineStr">
        <is>
          <t>baseline</t>
        </is>
      </c>
      <c r="J34" s="13" t="inlineStr">
        <is>
          <t>finetuned</t>
        </is>
      </c>
      <c r="K34" s="13" t="inlineStr">
        <is>
          <t>B</t>
        </is>
      </c>
      <c r="L34" s="13" t="inlineStr">
        <is>
          <t>B</t>
        </is>
      </c>
      <c r="M34" s="13" t="inlineStr">
        <is>
          <t>B</t>
        </is>
      </c>
      <c r="N34" s="13">
        <f>IF(K34="A", I34, J34)</f>
        <v/>
      </c>
      <c r="O34" s="13">
        <f>IF(L34="A", I34, J34)</f>
        <v/>
      </c>
      <c r="P34" s="13">
        <f>IF(M34="A", I34, J34)</f>
        <v/>
      </c>
      <c r="Q34" s="13" t="n"/>
      <c r="R34" s="13" t="inlineStr">
        <is>
          <t>Percussion - Mirudhangam</t>
        </is>
      </c>
      <c r="S34" s="13" t="inlineStr">
        <is>
          <t>test</t>
        </is>
      </c>
      <c r="T34" s="13" t="n"/>
    </row>
    <row r="35" ht="15.75" customHeight="1">
      <c r="A35" s="13" t="inlineStr">
        <is>
          <t>PAC716A3</t>
        </is>
      </c>
      <c r="B35" s="13">
        <f>VLOOKUP(A35,Table1[[#All],[Participant ID]:[Persona]],7,0)</f>
        <v/>
      </c>
      <c r="C35" s="15" t="inlineStr">
        <is>
          <t>2026-04-05T07:22:17</t>
        </is>
      </c>
      <c r="D35" s="13" t="inlineStr">
        <is>
          <t>P02</t>
        </is>
      </c>
      <c r="E35" s="13" t="inlineStr">
        <is>
          <t>Raksha_Bettare_seg0201</t>
        </is>
      </c>
      <c r="F35" s="13" t="n">
        <v>4</v>
      </c>
      <c r="G35" s="13" t="inlineStr">
        <is>
          <t>audio/pairwise/Raksha_Bettare_seg0201-finetuned_20s.wav</t>
        </is>
      </c>
      <c r="H35" s="13" t="inlineStr">
        <is>
          <t>audio/pairwise/Raksha_Bettare_seg0201-baseline_20s.wav</t>
        </is>
      </c>
      <c r="I35" s="13" t="inlineStr">
        <is>
          <t>finetuned</t>
        </is>
      </c>
      <c r="J35" s="13" t="inlineStr">
        <is>
          <t>baseline</t>
        </is>
      </c>
      <c r="K35" s="13" t="inlineStr">
        <is>
          <t>A</t>
        </is>
      </c>
      <c r="L35" s="13" t="inlineStr">
        <is>
          <t>A</t>
        </is>
      </c>
      <c r="M35" s="13" t="inlineStr">
        <is>
          <t>A</t>
        </is>
      </c>
      <c r="N35" s="13">
        <f>IF(K35="A", I35, J35)</f>
        <v/>
      </c>
      <c r="O35" s="13">
        <f>IF(L35="A", I35, J35)</f>
        <v/>
      </c>
      <c r="P35" s="13">
        <f>IF(M35="A", I35, J35)</f>
        <v/>
      </c>
      <c r="Q35" s="13" t="n"/>
      <c r="R35" s="13" t="inlineStr">
        <is>
          <t>Vocal</t>
        </is>
      </c>
      <c r="S35" s="13" t="inlineStr">
        <is>
          <t>test</t>
        </is>
      </c>
      <c r="T35" s="13" t="n"/>
    </row>
    <row r="36" ht="15.75" customHeight="1">
      <c r="A36" s="13" t="inlineStr">
        <is>
          <t>PAC716A3</t>
        </is>
      </c>
      <c r="B36" s="13">
        <f>VLOOKUP(A36,Table1[[#All],[Participant ID]:[Persona]],7,0)</f>
        <v/>
      </c>
      <c r="C36" s="15" t="inlineStr">
        <is>
          <t>2026-04-05T07:22:17</t>
        </is>
      </c>
      <c r="D36" s="13" t="inlineStr">
        <is>
          <t>P01</t>
        </is>
      </c>
      <c r="E36" s="13" t="inlineStr">
        <is>
          <t>Karpagambike_seg0044</t>
        </is>
      </c>
      <c r="F36" s="13" t="n">
        <v>5</v>
      </c>
      <c r="G36" s="13" t="inlineStr">
        <is>
          <t>audio/pairwise/Karpagambike_seg0044-baseline_20s.wav</t>
        </is>
      </c>
      <c r="H36" s="13" t="inlineStr">
        <is>
          <t>audio/pairwise/Karpagambike_seg0044-finetuned_20s.wav</t>
        </is>
      </c>
      <c r="I36" s="13" t="inlineStr">
        <is>
          <t>baseline</t>
        </is>
      </c>
      <c r="J36" s="13" t="inlineStr">
        <is>
          <t>finetuned</t>
        </is>
      </c>
      <c r="K36" s="13" t="inlineStr">
        <is>
          <t>B</t>
        </is>
      </c>
      <c r="L36" s="13" t="inlineStr">
        <is>
          <t>A</t>
        </is>
      </c>
      <c r="M36" s="13" t="inlineStr">
        <is>
          <t>B</t>
        </is>
      </c>
      <c r="N36" s="13">
        <f>IF(K36="A", I36, J36)</f>
        <v/>
      </c>
      <c r="O36" s="13">
        <f>IF(L36="A", I36, J36)</f>
        <v/>
      </c>
      <c r="P36" s="13">
        <f>IF(M36="A", I36, J36)</f>
        <v/>
      </c>
      <c r="Q36" s="13" t="n"/>
      <c r="R36" s="13" t="inlineStr">
        <is>
          <t>Vocal</t>
        </is>
      </c>
      <c r="S36" s="13" t="inlineStr">
        <is>
          <t>test</t>
        </is>
      </c>
      <c r="T36" s="13" t="n"/>
    </row>
    <row r="37" ht="15.75" customHeight="1">
      <c r="A37" s="13" t="inlineStr">
        <is>
          <t>PAC716A3</t>
        </is>
      </c>
      <c r="B37" s="13">
        <f>VLOOKUP(A37,Table1[[#All],[Participant ID]:[Persona]],7,0)</f>
        <v/>
      </c>
      <c r="C37" s="15" t="inlineStr">
        <is>
          <t>2026-04-05T07:22:17</t>
        </is>
      </c>
      <c r="D37" s="13" t="inlineStr">
        <is>
          <t>P04</t>
        </is>
      </c>
      <c r="E37" s="13" t="inlineStr">
        <is>
          <t>Deva_Deva_Jagadeesha_seg0006</t>
        </is>
      </c>
      <c r="F37" s="13" t="n">
        <v>6</v>
      </c>
      <c r="G37" s="13" t="inlineStr">
        <is>
          <t>audio/pairwise/Deva_Deva_Jagadeesha_seg0006-baseline_20s.wav</t>
        </is>
      </c>
      <c r="H37" s="13" t="inlineStr">
        <is>
          <t>audio/pairwise/Deva_Deva_Jagadeesha_seg0006-finetuned_20s.wav</t>
        </is>
      </c>
      <c r="I37" s="13" t="inlineStr">
        <is>
          <t>baseline</t>
        </is>
      </c>
      <c r="J37" s="13" t="inlineStr">
        <is>
          <t>finetuned</t>
        </is>
      </c>
      <c r="K37" s="13" t="inlineStr">
        <is>
          <t>A</t>
        </is>
      </c>
      <c r="L37" s="13" t="inlineStr">
        <is>
          <t>A</t>
        </is>
      </c>
      <c r="M37" s="13" t="inlineStr">
        <is>
          <t>A</t>
        </is>
      </c>
      <c r="N37" s="13">
        <f>IF(K37="A", I37, J37)</f>
        <v/>
      </c>
      <c r="O37" s="13">
        <f>IF(L37="A", I37, J37)</f>
        <v/>
      </c>
      <c r="P37" s="13">
        <f>IF(M37="A", I37, J37)</f>
        <v/>
      </c>
      <c r="Q37" s="13" t="n"/>
      <c r="R37" s="13" t="inlineStr">
        <is>
          <t>Instrumental - Violin</t>
        </is>
      </c>
      <c r="S37" s="13" t="inlineStr">
        <is>
          <t>test</t>
        </is>
      </c>
      <c r="T37" s="13" t="n"/>
    </row>
    <row r="38" ht="15.75" customHeight="1">
      <c r="A38" s="13" t="inlineStr">
        <is>
          <t>PA7FA43A</t>
        </is>
      </c>
      <c r="B38" s="13">
        <f>VLOOKUP(A38,Table1[[#All],[Participant ID]:[Persona]],7,0)</f>
        <v/>
      </c>
      <c r="C38" s="15" t="inlineStr">
        <is>
          <t>2026-04-05T14:38:26</t>
        </is>
      </c>
      <c r="D38" s="13" t="inlineStr">
        <is>
          <t>P05</t>
        </is>
      </c>
      <c r="E38" s="13" t="inlineStr">
        <is>
          <t>Nannupalimpa_seg0235</t>
        </is>
      </c>
      <c r="F38" s="13" t="n">
        <v>1</v>
      </c>
      <c r="G38" s="13" t="inlineStr">
        <is>
          <t>audio/pairwise/Nannupalimpa_seg0235-baseline_20s.wav</t>
        </is>
      </c>
      <c r="H38" s="13" t="inlineStr">
        <is>
          <t>audio/pairwise/Nannupalimpa_seg0235-finetuned_20s.wav</t>
        </is>
      </c>
      <c r="I38" s="13" t="inlineStr">
        <is>
          <t>baseline</t>
        </is>
      </c>
      <c r="J38" s="13" t="inlineStr">
        <is>
          <t>finetuned</t>
        </is>
      </c>
      <c r="K38" s="13" t="inlineStr">
        <is>
          <t>A</t>
        </is>
      </c>
      <c r="L38" s="13" t="inlineStr">
        <is>
          <t>A</t>
        </is>
      </c>
      <c r="M38" s="13" t="inlineStr">
        <is>
          <t>A</t>
        </is>
      </c>
      <c r="N38" s="13">
        <f>IF(K38="A", I38, J38)</f>
        <v/>
      </c>
      <c r="O38" s="13">
        <f>IF(L38="A", I38, J38)</f>
        <v/>
      </c>
      <c r="P38" s="13">
        <f>IF(M38="A", I38, J38)</f>
        <v/>
      </c>
      <c r="Q38" s="13" t="n"/>
      <c r="R38" s="13" t="inlineStr">
        <is>
          <t>Percussion - Mirudhangam</t>
        </is>
      </c>
      <c r="S38" s="13" t="inlineStr">
        <is>
          <t>test</t>
        </is>
      </c>
      <c r="T38" s="13" t="n"/>
    </row>
    <row r="39" ht="15.75" customHeight="1">
      <c r="A39" s="13" t="inlineStr">
        <is>
          <t>PA7FA43A</t>
        </is>
      </c>
      <c r="B39" s="13">
        <f>VLOOKUP(A39,Table1[[#All],[Participant ID]:[Persona]],7,0)</f>
        <v/>
      </c>
      <c r="C39" s="15" t="inlineStr">
        <is>
          <t>2026-04-05T14:38:26</t>
        </is>
      </c>
      <c r="D39" s="13" t="inlineStr">
        <is>
          <t>P03</t>
        </is>
      </c>
      <c r="E39" s="13" t="inlineStr">
        <is>
          <t>Ramanatham_Bhajeham_seg0029</t>
        </is>
      </c>
      <c r="F39" s="13" t="n">
        <v>2</v>
      </c>
      <c r="G39" s="13" t="inlineStr">
        <is>
          <t>audio/pairwise/Ramanatham_Bhajeham_seg0029-baseline_20s.wav</t>
        </is>
      </c>
      <c r="H39" s="13" t="inlineStr">
        <is>
          <t>audio/pairwise/Ramanatham_Bhajeham_seg0029-finetuned_20s.wav</t>
        </is>
      </c>
      <c r="I39" s="13" t="inlineStr">
        <is>
          <t>baseline</t>
        </is>
      </c>
      <c r="J39" s="13" t="inlineStr">
        <is>
          <t>finetuned</t>
        </is>
      </c>
      <c r="K39" s="13" t="inlineStr">
        <is>
          <t>A</t>
        </is>
      </c>
      <c r="L39" s="13" t="inlineStr">
        <is>
          <t>A</t>
        </is>
      </c>
      <c r="M39" s="13" t="inlineStr">
        <is>
          <t>A</t>
        </is>
      </c>
      <c r="N39" s="13">
        <f>IF(K39="A", I39, J39)</f>
        <v/>
      </c>
      <c r="O39" s="13">
        <f>IF(L39="A", I39, J39)</f>
        <v/>
      </c>
      <c r="P39" s="13">
        <f>IF(M39="A", I39, J39)</f>
        <v/>
      </c>
      <c r="Q39" s="13" t="n"/>
      <c r="R39" s="13" t="inlineStr">
        <is>
          <t>Vocal</t>
        </is>
      </c>
      <c r="S39" s="13" t="inlineStr">
        <is>
          <t>test</t>
        </is>
      </c>
      <c r="T39" s="13" t="n"/>
    </row>
    <row r="40" ht="15.75" customHeight="1">
      <c r="A40" s="13" t="inlineStr">
        <is>
          <t>PA7FA43A</t>
        </is>
      </c>
      <c r="B40" s="13">
        <f>VLOOKUP(A40,Table1[[#All],[Participant ID]:[Persona]],7,0)</f>
        <v/>
      </c>
      <c r="C40" s="15" t="inlineStr">
        <is>
          <t>2026-04-05T14:38:26</t>
        </is>
      </c>
      <c r="D40" s="13" t="inlineStr">
        <is>
          <t>P02</t>
        </is>
      </c>
      <c r="E40" s="13" t="inlineStr">
        <is>
          <t>Raksha_Bettare_seg0201</t>
        </is>
      </c>
      <c r="F40" s="13" t="n">
        <v>3</v>
      </c>
      <c r="G40" s="13" t="inlineStr">
        <is>
          <t>audio/pairwise/Raksha_Bettare_seg0201-baseline_20s.wav</t>
        </is>
      </c>
      <c r="H40" s="13" t="inlineStr">
        <is>
          <t>audio/pairwise/Raksha_Bettare_seg0201-finetuned_20s.wav</t>
        </is>
      </c>
      <c r="I40" s="13" t="inlineStr">
        <is>
          <t>baseline</t>
        </is>
      </c>
      <c r="J40" s="13" t="inlineStr">
        <is>
          <t>finetuned</t>
        </is>
      </c>
      <c r="K40" s="13" t="inlineStr">
        <is>
          <t>A</t>
        </is>
      </c>
      <c r="L40" s="13" t="inlineStr">
        <is>
          <t>A</t>
        </is>
      </c>
      <c r="M40" s="13" t="inlineStr">
        <is>
          <t>A</t>
        </is>
      </c>
      <c r="N40" s="13">
        <f>IF(K40="A", I40, J40)</f>
        <v/>
      </c>
      <c r="O40" s="13">
        <f>IF(L40="A", I40, J40)</f>
        <v/>
      </c>
      <c r="P40" s="13">
        <f>IF(M40="A", I40, J40)</f>
        <v/>
      </c>
      <c r="Q40" s="13" t="n"/>
      <c r="R40" s="13" t="inlineStr">
        <is>
          <t>Vocal</t>
        </is>
      </c>
      <c r="S40" s="13" t="inlineStr">
        <is>
          <t>test</t>
        </is>
      </c>
      <c r="T40" s="13" t="n"/>
    </row>
    <row r="41" ht="15.75" customHeight="1">
      <c r="A41" s="13" t="inlineStr">
        <is>
          <t>PA7FA43A</t>
        </is>
      </c>
      <c r="B41" s="13">
        <f>VLOOKUP(A41,Table1[[#All],[Participant ID]:[Persona]],7,0)</f>
        <v/>
      </c>
      <c r="C41" s="15" t="inlineStr">
        <is>
          <t>2026-04-05T14:38:26</t>
        </is>
      </c>
      <c r="D41" s="13" t="inlineStr">
        <is>
          <t>P01</t>
        </is>
      </c>
      <c r="E41" s="13" t="inlineStr">
        <is>
          <t>Karpagambike_seg0044</t>
        </is>
      </c>
      <c r="F41" s="13" t="n">
        <v>4</v>
      </c>
      <c r="G41" s="13" t="inlineStr">
        <is>
          <t>audio/pairwise/Karpagambike_seg0044-baseline_20s.wav</t>
        </is>
      </c>
      <c r="H41" s="13" t="inlineStr">
        <is>
          <t>audio/pairwise/Karpagambike_seg0044-finetuned_20s.wav</t>
        </is>
      </c>
      <c r="I41" s="13" t="inlineStr">
        <is>
          <t>baseline</t>
        </is>
      </c>
      <c r="J41" s="13" t="inlineStr">
        <is>
          <t>finetuned</t>
        </is>
      </c>
      <c r="K41" s="13" t="inlineStr">
        <is>
          <t>B</t>
        </is>
      </c>
      <c r="L41" s="13" t="inlineStr">
        <is>
          <t>B</t>
        </is>
      </c>
      <c r="M41" s="13" t="inlineStr">
        <is>
          <t>B</t>
        </is>
      </c>
      <c r="N41" s="13">
        <f>IF(K41="A", I41, J41)</f>
        <v/>
      </c>
      <c r="O41" s="13">
        <f>IF(L41="A", I41, J41)</f>
        <v/>
      </c>
      <c r="P41" s="13">
        <f>IF(M41="A", I41, J41)</f>
        <v/>
      </c>
      <c r="Q41" s="13" t="n"/>
      <c r="R41" s="13" t="inlineStr">
        <is>
          <t>Vocal</t>
        </is>
      </c>
      <c r="S41" s="13" t="inlineStr">
        <is>
          <t>test</t>
        </is>
      </c>
      <c r="T41" s="13" t="n"/>
    </row>
    <row r="42" ht="15.75" customHeight="1">
      <c r="A42" s="13" t="inlineStr">
        <is>
          <t>PA7FA43A</t>
        </is>
      </c>
      <c r="B42" s="13">
        <f>VLOOKUP(A42,Table1[[#All],[Participant ID]:[Persona]],7,0)</f>
        <v/>
      </c>
      <c r="C42" s="15" t="inlineStr">
        <is>
          <t>2026-04-05T14:38:26</t>
        </is>
      </c>
      <c r="D42" s="13" t="inlineStr">
        <is>
          <t>P06</t>
        </is>
      </c>
      <c r="E42" s="13" t="inlineStr">
        <is>
          <t>Seshachala_Nayakam_seg0142</t>
        </is>
      </c>
      <c r="F42" s="13" t="n">
        <v>5</v>
      </c>
      <c r="G42" s="13" t="inlineStr">
        <is>
          <t>audio/pairwise/Seshachala_Nayakam_seg0142-finetuned_20s.wav</t>
        </is>
      </c>
      <c r="H42" s="13" t="inlineStr">
        <is>
          <t>audio/pairwise/Seshachala_Nayakam_seg0142-baseline_20s.wav</t>
        </is>
      </c>
      <c r="I42" s="13" t="inlineStr">
        <is>
          <t>finetuned</t>
        </is>
      </c>
      <c r="J42" s="13" t="inlineStr">
        <is>
          <t>baseline</t>
        </is>
      </c>
      <c r="K42" s="13" t="inlineStr">
        <is>
          <t>A</t>
        </is>
      </c>
      <c r="L42" s="13" t="inlineStr">
        <is>
          <t>A</t>
        </is>
      </c>
      <c r="M42" s="13" t="inlineStr">
        <is>
          <t>A</t>
        </is>
      </c>
      <c r="N42" s="13">
        <f>IF(K42="A", I42, J42)</f>
        <v/>
      </c>
      <c r="O42" s="13">
        <f>IF(L42="A", I42, J42)</f>
        <v/>
      </c>
      <c r="P42" s="13">
        <f>IF(M42="A", I42, J42)</f>
        <v/>
      </c>
      <c r="Q42" s="13" t="n"/>
      <c r="R42" s="13" t="inlineStr">
        <is>
          <t>Instrumental - Violin</t>
        </is>
      </c>
      <c r="S42" s="13" t="inlineStr">
        <is>
          <t>test</t>
        </is>
      </c>
      <c r="T42" s="13" t="n"/>
    </row>
    <row r="43" ht="15.75" customHeight="1">
      <c r="A43" s="13" t="inlineStr">
        <is>
          <t>PA7FA43A</t>
        </is>
      </c>
      <c r="B43" s="13">
        <f>VLOOKUP(A43,Table1[[#All],[Participant ID]:[Persona]],7,0)</f>
        <v/>
      </c>
      <c r="C43" s="15" t="inlineStr">
        <is>
          <t>2026-04-05T14:38:26</t>
        </is>
      </c>
      <c r="D43" s="13" t="inlineStr">
        <is>
          <t>P04</t>
        </is>
      </c>
      <c r="E43" s="13" t="inlineStr">
        <is>
          <t>Deva_Deva_Jagadeesha_seg0006</t>
        </is>
      </c>
      <c r="F43" s="13" t="n">
        <v>6</v>
      </c>
      <c r="G43" s="13" t="inlineStr">
        <is>
          <t>audio/pairwise/Deva_Deva_Jagadeesha_seg0006-finetuned_20s.wav</t>
        </is>
      </c>
      <c r="H43" s="13" t="inlineStr">
        <is>
          <t>audio/pairwise/Deva_Deva_Jagadeesha_seg0006-baseline_20s.wav</t>
        </is>
      </c>
      <c r="I43" s="13" t="inlineStr">
        <is>
          <t>finetuned</t>
        </is>
      </c>
      <c r="J43" s="13" t="inlineStr">
        <is>
          <t>baseline</t>
        </is>
      </c>
      <c r="K43" s="13" t="inlineStr">
        <is>
          <t>B</t>
        </is>
      </c>
      <c r="L43" s="13" t="inlineStr">
        <is>
          <t>B</t>
        </is>
      </c>
      <c r="M43" s="13" t="inlineStr">
        <is>
          <t>B</t>
        </is>
      </c>
      <c r="N43" s="13">
        <f>IF(K43="A", I43, J43)</f>
        <v/>
      </c>
      <c r="O43" s="13">
        <f>IF(L43="A", I43, J43)</f>
        <v/>
      </c>
      <c r="P43" s="13">
        <f>IF(M43="A", I43, J43)</f>
        <v/>
      </c>
      <c r="Q43" s="13" t="n"/>
      <c r="R43" s="13" t="inlineStr">
        <is>
          <t>Instrumental - Violin</t>
        </is>
      </c>
      <c r="S43" s="13" t="inlineStr">
        <is>
          <t>test</t>
        </is>
      </c>
      <c r="T43" s="13" t="n"/>
    </row>
    <row r="44" ht="15.75" customHeight="1">
      <c r="A44" s="13" t="inlineStr">
        <is>
          <t>PAFA3928</t>
        </is>
      </c>
      <c r="B44" s="13">
        <f>VLOOKUP(A44,Table1[[#All],[Participant ID]:[Persona]],7,0)</f>
        <v/>
      </c>
      <c r="C44" s="15" t="inlineStr">
        <is>
          <t>2026-04-05T15:08:54</t>
        </is>
      </c>
      <c r="D44" s="13" t="inlineStr">
        <is>
          <t>P04</t>
        </is>
      </c>
      <c r="E44" s="13" t="inlineStr">
        <is>
          <t>Deva_Deva_Jagadeesha_seg0006</t>
        </is>
      </c>
      <c r="F44" s="13" t="n">
        <v>1</v>
      </c>
      <c r="G44" s="13" t="inlineStr">
        <is>
          <t>audio/pairwise/Deva_Deva_Jagadeesha_seg0006-finetuned_20s.wav</t>
        </is>
      </c>
      <c r="H44" s="13" t="inlineStr">
        <is>
          <t>audio/pairwise/Deva_Deva_Jagadeesha_seg0006-baseline_20s.wav</t>
        </is>
      </c>
      <c r="I44" s="13" t="inlineStr">
        <is>
          <t>finetuned</t>
        </is>
      </c>
      <c r="J44" s="13" t="inlineStr">
        <is>
          <t>baseline</t>
        </is>
      </c>
      <c r="K44" s="13" t="inlineStr">
        <is>
          <t>A</t>
        </is>
      </c>
      <c r="L44" s="13" t="inlineStr">
        <is>
          <t>A</t>
        </is>
      </c>
      <c r="M44" s="13" t="inlineStr">
        <is>
          <t>A</t>
        </is>
      </c>
      <c r="N44" s="13">
        <f>IF(K44="A", I44, J44)</f>
        <v/>
      </c>
      <c r="O44" s="13">
        <f>IF(L44="A", I44, J44)</f>
        <v/>
      </c>
      <c r="P44" s="13">
        <f>IF(M44="A", I44, J44)</f>
        <v/>
      </c>
      <c r="Q44" s="13" t="n"/>
      <c r="R44" s="13" t="inlineStr">
        <is>
          <t>Instrumental - Violin</t>
        </is>
      </c>
      <c r="S44" s="13" t="inlineStr">
        <is>
          <t>test</t>
        </is>
      </c>
      <c r="T44" s="13" t="n"/>
    </row>
    <row r="45" ht="15.75" customHeight="1">
      <c r="A45" s="13" t="inlineStr">
        <is>
          <t>PAFA3928</t>
        </is>
      </c>
      <c r="B45" s="13">
        <f>VLOOKUP(A45,Table1[[#All],[Participant ID]:[Persona]],7,0)</f>
        <v/>
      </c>
      <c r="C45" s="15" t="inlineStr">
        <is>
          <t>2026-04-05T15:08:54</t>
        </is>
      </c>
      <c r="D45" s="13" t="inlineStr">
        <is>
          <t>P03</t>
        </is>
      </c>
      <c r="E45" s="13" t="inlineStr">
        <is>
          <t>Ramanatham_Bhajeham_seg0029</t>
        </is>
      </c>
      <c r="F45" s="13" t="n">
        <v>2</v>
      </c>
      <c r="G45" s="13" t="inlineStr">
        <is>
          <t>audio/pairwise/Ramanatham_Bhajeham_seg0029-baseline_20s.wav</t>
        </is>
      </c>
      <c r="H45" s="13" t="inlineStr">
        <is>
          <t>audio/pairwise/Ramanatham_Bhajeham_seg0029-finetuned_20s.wav</t>
        </is>
      </c>
      <c r="I45" s="13" t="inlineStr">
        <is>
          <t>baseline</t>
        </is>
      </c>
      <c r="J45" s="13" t="inlineStr">
        <is>
          <t>finetuned</t>
        </is>
      </c>
      <c r="K45" s="13" t="inlineStr">
        <is>
          <t>A</t>
        </is>
      </c>
      <c r="L45" s="13" t="inlineStr">
        <is>
          <t>A</t>
        </is>
      </c>
      <c r="M45" s="13" t="inlineStr">
        <is>
          <t>A</t>
        </is>
      </c>
      <c r="N45" s="13">
        <f>IF(K45="A", I45, J45)</f>
        <v/>
      </c>
      <c r="O45" s="13">
        <f>IF(L45="A", I45, J45)</f>
        <v/>
      </c>
      <c r="P45" s="13">
        <f>IF(M45="A", I45, J45)</f>
        <v/>
      </c>
      <c r="Q45" s="13" t="n"/>
      <c r="R45" s="13" t="inlineStr">
        <is>
          <t>Vocal</t>
        </is>
      </c>
      <c r="S45" s="13" t="inlineStr">
        <is>
          <t>test</t>
        </is>
      </c>
      <c r="T45" s="13" t="n"/>
    </row>
    <row r="46" ht="15.75" customHeight="1">
      <c r="A46" s="13" t="inlineStr">
        <is>
          <t>PAFA3928</t>
        </is>
      </c>
      <c r="B46" s="13">
        <f>VLOOKUP(A46,Table1[[#All],[Participant ID]:[Persona]],7,0)</f>
        <v/>
      </c>
      <c r="C46" s="15" t="inlineStr">
        <is>
          <t>2026-04-05T15:08:54</t>
        </is>
      </c>
      <c r="D46" s="13" t="inlineStr">
        <is>
          <t>P01</t>
        </is>
      </c>
      <c r="E46" s="13" t="inlineStr">
        <is>
          <t>Karpagambike_seg0044</t>
        </is>
      </c>
      <c r="F46" s="13" t="n">
        <v>3</v>
      </c>
      <c r="G46" s="13" t="inlineStr">
        <is>
          <t>audio/pairwise/Karpagambike_seg0044-baseline_20s.wav</t>
        </is>
      </c>
      <c r="H46" s="13" t="inlineStr">
        <is>
          <t>audio/pairwise/Karpagambike_seg0044-finetuned_20s.wav</t>
        </is>
      </c>
      <c r="I46" s="13" t="inlineStr">
        <is>
          <t>baseline</t>
        </is>
      </c>
      <c r="J46" s="13" t="inlineStr">
        <is>
          <t>finetuned</t>
        </is>
      </c>
      <c r="K46" s="13" t="inlineStr">
        <is>
          <t>B</t>
        </is>
      </c>
      <c r="L46" s="13" t="inlineStr">
        <is>
          <t>A</t>
        </is>
      </c>
      <c r="M46" s="13" t="inlineStr">
        <is>
          <t>A</t>
        </is>
      </c>
      <c r="N46" s="13">
        <f>IF(K46="A", I46, J46)</f>
        <v/>
      </c>
      <c r="O46" s="13">
        <f>IF(L46="A", I46, J46)</f>
        <v/>
      </c>
      <c r="P46" s="13">
        <f>IF(M46="A", I46, J46)</f>
        <v/>
      </c>
      <c r="Q46" s="13" t="n"/>
      <c r="R46" s="13" t="inlineStr">
        <is>
          <t>Vocal</t>
        </is>
      </c>
      <c r="S46" s="13" t="inlineStr">
        <is>
          <t>test</t>
        </is>
      </c>
      <c r="T46" s="13" t="n"/>
    </row>
    <row r="47" ht="15.75" customHeight="1">
      <c r="A47" s="13" t="inlineStr">
        <is>
          <t>PAFA3928</t>
        </is>
      </c>
      <c r="B47" s="13">
        <f>VLOOKUP(A47,Table1[[#All],[Participant ID]:[Persona]],7,0)</f>
        <v/>
      </c>
      <c r="C47" s="15" t="inlineStr">
        <is>
          <t>2026-04-05T15:08:54</t>
        </is>
      </c>
      <c r="D47" s="13" t="inlineStr">
        <is>
          <t>P06</t>
        </is>
      </c>
      <c r="E47" s="13" t="inlineStr">
        <is>
          <t>Seshachala_Nayakam_seg0142</t>
        </is>
      </c>
      <c r="F47" s="13" t="n">
        <v>4</v>
      </c>
      <c r="G47" s="13" t="inlineStr">
        <is>
          <t>audio/pairwise/Seshachala_Nayakam_seg0142-finetuned_20s.wav</t>
        </is>
      </c>
      <c r="H47" s="13" t="inlineStr">
        <is>
          <t>audio/pairwise/Seshachala_Nayakam_seg0142-baseline_20s.wav</t>
        </is>
      </c>
      <c r="I47" s="13" t="inlineStr">
        <is>
          <t>finetuned</t>
        </is>
      </c>
      <c r="J47" s="13" t="inlineStr">
        <is>
          <t>baseline</t>
        </is>
      </c>
      <c r="K47" s="13" t="inlineStr">
        <is>
          <t>A</t>
        </is>
      </c>
      <c r="L47" s="13" t="inlineStr">
        <is>
          <t>A</t>
        </is>
      </c>
      <c r="M47" s="13" t="inlineStr">
        <is>
          <t>A</t>
        </is>
      </c>
      <c r="N47" s="13">
        <f>IF(K47="A", I47, J47)</f>
        <v/>
      </c>
      <c r="O47" s="13">
        <f>IF(L47="A", I47, J47)</f>
        <v/>
      </c>
      <c r="P47" s="13">
        <f>IF(M47="A", I47, J47)</f>
        <v/>
      </c>
      <c r="Q47" s="13" t="n"/>
      <c r="R47" s="13" t="inlineStr">
        <is>
          <t>Instrumental - Violin</t>
        </is>
      </c>
      <c r="S47" s="13" t="inlineStr">
        <is>
          <t>test</t>
        </is>
      </c>
      <c r="T47" s="13" t="n"/>
    </row>
    <row r="48" ht="15.75" customHeight="1">
      <c r="A48" s="13" t="inlineStr">
        <is>
          <t>PAFA3928</t>
        </is>
      </c>
      <c r="B48" s="13">
        <f>VLOOKUP(A48,Table1[[#All],[Participant ID]:[Persona]],7,0)</f>
        <v/>
      </c>
      <c r="C48" s="15" t="inlineStr">
        <is>
          <t>2026-04-05T15:08:54</t>
        </is>
      </c>
      <c r="D48" s="13" t="inlineStr">
        <is>
          <t>P02</t>
        </is>
      </c>
      <c r="E48" s="13" t="inlineStr">
        <is>
          <t>Raksha_Bettare_seg0201</t>
        </is>
      </c>
      <c r="F48" s="13" t="n">
        <v>5</v>
      </c>
      <c r="G48" s="13" t="inlineStr">
        <is>
          <t>audio/pairwise/Raksha_Bettare_seg0201-finetuned_20s.wav</t>
        </is>
      </c>
      <c r="H48" s="13" t="inlineStr">
        <is>
          <t>audio/pairwise/Raksha_Bettare_seg0201-baseline_20s.wav</t>
        </is>
      </c>
      <c r="I48" s="13" t="inlineStr">
        <is>
          <t>finetuned</t>
        </is>
      </c>
      <c r="J48" s="13" t="inlineStr">
        <is>
          <t>baseline</t>
        </is>
      </c>
      <c r="K48" s="13" t="inlineStr">
        <is>
          <t>A</t>
        </is>
      </c>
      <c r="L48" s="13" t="inlineStr">
        <is>
          <t>B</t>
        </is>
      </c>
      <c r="M48" s="13" t="inlineStr">
        <is>
          <t>B</t>
        </is>
      </c>
      <c r="N48" s="13">
        <f>IF(K48="A", I48, J48)</f>
        <v/>
      </c>
      <c r="O48" s="13">
        <f>IF(L48="A", I48, J48)</f>
        <v/>
      </c>
      <c r="P48" s="13">
        <f>IF(M48="A", I48, J48)</f>
        <v/>
      </c>
      <c r="Q48" s="13" t="n"/>
      <c r="R48" s="13" t="inlineStr">
        <is>
          <t>Vocal</t>
        </is>
      </c>
      <c r="S48" s="13" t="inlineStr">
        <is>
          <t>test</t>
        </is>
      </c>
      <c r="T48" s="13" t="n"/>
    </row>
    <row r="49" ht="15.75" customHeight="1">
      <c r="A49" s="13" t="inlineStr">
        <is>
          <t>PAFA3928</t>
        </is>
      </c>
      <c r="B49" s="13">
        <f>VLOOKUP(A49,Table1[[#All],[Participant ID]:[Persona]],7,0)</f>
        <v/>
      </c>
      <c r="C49" s="15" t="inlineStr">
        <is>
          <t>2026-04-05T15:08:54</t>
        </is>
      </c>
      <c r="D49" s="13" t="inlineStr">
        <is>
          <t>P05</t>
        </is>
      </c>
      <c r="E49" s="13" t="inlineStr">
        <is>
          <t>Nannupalimpa_seg0235</t>
        </is>
      </c>
      <c r="F49" s="13" t="n">
        <v>6</v>
      </c>
      <c r="G49" s="13" t="inlineStr">
        <is>
          <t>audio/pairwise/Nannupalimpa_seg0235-baseline_20s.wav</t>
        </is>
      </c>
      <c r="H49" s="13" t="inlineStr">
        <is>
          <t>audio/pairwise/Nannupalimpa_seg0235-finetuned_20s.wav</t>
        </is>
      </c>
      <c r="I49" s="13" t="inlineStr">
        <is>
          <t>baseline</t>
        </is>
      </c>
      <c r="J49" s="13" t="inlineStr">
        <is>
          <t>finetuned</t>
        </is>
      </c>
      <c r="K49" s="13" t="inlineStr">
        <is>
          <t>B</t>
        </is>
      </c>
      <c r="L49" s="13" t="inlineStr">
        <is>
          <t>B</t>
        </is>
      </c>
      <c r="M49" s="13" t="inlineStr">
        <is>
          <t>B</t>
        </is>
      </c>
      <c r="N49" s="13">
        <f>IF(K49="A", I49, J49)</f>
        <v/>
      </c>
      <c r="O49" s="13">
        <f>IF(L49="A", I49, J49)</f>
        <v/>
      </c>
      <c r="P49" s="13">
        <f>IF(M49="A", I49, J49)</f>
        <v/>
      </c>
      <c r="Q49" s="13" t="n"/>
      <c r="R49" s="13" t="inlineStr">
        <is>
          <t>Percussion - Mirudhangam</t>
        </is>
      </c>
      <c r="S49" s="13" t="inlineStr">
        <is>
          <t>test</t>
        </is>
      </c>
      <c r="T49" s="13" t="n"/>
    </row>
    <row r="50" ht="15" customHeight="1">
      <c r="A50" s="13" t="inlineStr">
        <is>
          <t>PAFF06B5</t>
        </is>
      </c>
      <c r="B50" s="13">
        <f>VLOOKUP(A50,Table1[[#All],[Participant ID]:[Persona]],7,0)</f>
        <v/>
      </c>
      <c r="C50" s="15" t="inlineStr">
        <is>
          <t>2026-04-05T16:49:23</t>
        </is>
      </c>
      <c r="D50" s="13" t="inlineStr">
        <is>
          <t>P02</t>
        </is>
      </c>
      <c r="E50" s="13" t="inlineStr">
        <is>
          <t>Raksha_Bettare_seg0201</t>
        </is>
      </c>
      <c r="F50" s="13" t="n">
        <v>1</v>
      </c>
      <c r="G50" s="13" t="inlineStr">
        <is>
          <t>audio/pairwise/Raksha_Bettare_seg0201-baseline_20s.wav</t>
        </is>
      </c>
      <c r="H50" s="13" t="inlineStr">
        <is>
          <t>audio/pairwise/Raksha_Bettare_seg0201-finetuned_20s.wav</t>
        </is>
      </c>
      <c r="I50" s="13" t="inlineStr">
        <is>
          <t>baseline</t>
        </is>
      </c>
      <c r="J50" s="13" t="inlineStr">
        <is>
          <t>finetuned</t>
        </is>
      </c>
      <c r="K50" s="13" t="inlineStr">
        <is>
          <t>A</t>
        </is>
      </c>
      <c r="L50" s="13" t="inlineStr">
        <is>
          <t>A</t>
        </is>
      </c>
      <c r="M50" s="13" t="inlineStr">
        <is>
          <t>B</t>
        </is>
      </c>
      <c r="N50" s="13">
        <f>IF(K50="A", I50, J50)</f>
        <v/>
      </c>
      <c r="O50" s="13">
        <f>IF(L50="A", I50, J50)</f>
        <v/>
      </c>
      <c r="P50" s="13">
        <f>IF(M50="A", I50, J50)</f>
        <v/>
      </c>
      <c r="Q50" s="13" t="n"/>
      <c r="R50" s="13" t="inlineStr">
        <is>
          <t>Vocal</t>
        </is>
      </c>
      <c r="S50" s="13" t="inlineStr">
        <is>
          <t>test</t>
        </is>
      </c>
      <c r="T50" s="13" t="n"/>
    </row>
    <row r="51" ht="15" customHeight="1">
      <c r="A51" s="13" t="inlineStr">
        <is>
          <t>PAFF06B5</t>
        </is>
      </c>
      <c r="B51" s="13">
        <f>VLOOKUP(A51,Table1[[#All],[Participant ID]:[Persona]],7,0)</f>
        <v/>
      </c>
      <c r="C51" s="15" t="inlineStr">
        <is>
          <t>2026-04-05T16:49:23</t>
        </is>
      </c>
      <c r="D51" s="13" t="inlineStr">
        <is>
          <t>P04</t>
        </is>
      </c>
      <c r="E51" s="13" t="inlineStr">
        <is>
          <t>Deva_Deva_Jagadeesha_seg0006</t>
        </is>
      </c>
      <c r="F51" s="13" t="n">
        <v>2</v>
      </c>
      <c r="G51" s="13" t="inlineStr">
        <is>
          <t>audio/pairwise/Deva_Deva_Jagadeesha_seg0006-baseline_20s.wav</t>
        </is>
      </c>
      <c r="H51" s="13" t="inlineStr">
        <is>
          <t>audio/pairwise/Deva_Deva_Jagadeesha_seg0006-finetuned_20s.wav</t>
        </is>
      </c>
      <c r="I51" s="13" t="inlineStr">
        <is>
          <t>baseline</t>
        </is>
      </c>
      <c r="J51" s="13" t="inlineStr">
        <is>
          <t>finetuned</t>
        </is>
      </c>
      <c r="K51" s="13" t="inlineStr">
        <is>
          <t>B</t>
        </is>
      </c>
      <c r="L51" s="13" t="inlineStr">
        <is>
          <t>A</t>
        </is>
      </c>
      <c r="M51" s="13" t="inlineStr">
        <is>
          <t>B</t>
        </is>
      </c>
      <c r="N51" s="13">
        <f>IF(K51="A", I51, J51)</f>
        <v/>
      </c>
      <c r="O51" s="13">
        <f>IF(L51="A", I51, J51)</f>
        <v/>
      </c>
      <c r="P51" s="13">
        <f>IF(M51="A", I51, J51)</f>
        <v/>
      </c>
      <c r="Q51" s="13" t="n"/>
      <c r="R51" s="13" t="inlineStr">
        <is>
          <t>Instrumental - Violin</t>
        </is>
      </c>
      <c r="S51" s="13" t="inlineStr">
        <is>
          <t>test</t>
        </is>
      </c>
      <c r="T51" s="13" t="n"/>
    </row>
    <row r="52" ht="15" customHeight="1">
      <c r="A52" s="13" t="inlineStr">
        <is>
          <t>PAFF06B5</t>
        </is>
      </c>
      <c r="B52" s="13">
        <f>VLOOKUP(A52,Table1[[#All],[Participant ID]:[Persona]],7,0)</f>
        <v/>
      </c>
      <c r="C52" s="15" t="inlineStr">
        <is>
          <t>2026-04-05T16:49:23</t>
        </is>
      </c>
      <c r="D52" s="13" t="inlineStr">
        <is>
          <t>P05</t>
        </is>
      </c>
      <c r="E52" s="13" t="inlineStr">
        <is>
          <t>Nannupalimpa_seg0235</t>
        </is>
      </c>
      <c r="F52" s="13" t="n">
        <v>3</v>
      </c>
      <c r="G52" s="13" t="inlineStr">
        <is>
          <t>audio/pairwise/Nannupalimpa_seg0235-baseline_20s.wav</t>
        </is>
      </c>
      <c r="H52" s="13" t="inlineStr">
        <is>
          <t>audio/pairwise/Nannupalimpa_seg0235-finetuned_20s.wav</t>
        </is>
      </c>
      <c r="I52" s="13" t="inlineStr">
        <is>
          <t>baseline</t>
        </is>
      </c>
      <c r="J52" s="13" t="inlineStr">
        <is>
          <t>finetuned</t>
        </is>
      </c>
      <c r="K52" s="13" t="inlineStr">
        <is>
          <t>B</t>
        </is>
      </c>
      <c r="L52" s="13" t="inlineStr">
        <is>
          <t>B</t>
        </is>
      </c>
      <c r="M52" s="13" t="inlineStr">
        <is>
          <t>B</t>
        </is>
      </c>
      <c r="N52" s="13">
        <f>IF(K52="A", I52, J52)</f>
        <v/>
      </c>
      <c r="O52" s="13">
        <f>IF(L52="A", I52, J52)</f>
        <v/>
      </c>
      <c r="P52" s="13">
        <f>IF(M52="A", I52, J52)</f>
        <v/>
      </c>
      <c r="Q52" s="13" t="n"/>
      <c r="R52" s="13" t="inlineStr">
        <is>
          <t>Percussion - Mirudhangam</t>
        </is>
      </c>
      <c r="S52" s="13" t="inlineStr">
        <is>
          <t>test</t>
        </is>
      </c>
      <c r="T52" s="13" t="n"/>
    </row>
    <row r="53" ht="15" customHeight="1">
      <c r="A53" s="13" t="inlineStr">
        <is>
          <t>PAFF06B5</t>
        </is>
      </c>
      <c r="B53" s="13">
        <f>VLOOKUP(A53,Table1[[#All],[Participant ID]:[Persona]],7,0)</f>
        <v/>
      </c>
      <c r="C53" s="15" t="inlineStr">
        <is>
          <t>2026-04-05T16:49:23</t>
        </is>
      </c>
      <c r="D53" s="13" t="inlineStr">
        <is>
          <t>P03</t>
        </is>
      </c>
      <c r="E53" s="13" t="inlineStr">
        <is>
          <t>Ramanatham_Bhajeham_seg0029</t>
        </is>
      </c>
      <c r="F53" s="13" t="n">
        <v>4</v>
      </c>
      <c r="G53" s="13" t="inlineStr">
        <is>
          <t>audio/pairwise/Ramanatham_Bhajeham_seg0029-finetuned_20s.wav</t>
        </is>
      </c>
      <c r="H53" s="13" t="inlineStr">
        <is>
          <t>audio/pairwise/Ramanatham_Bhajeham_seg0029-baseline_20s.wav</t>
        </is>
      </c>
      <c r="I53" s="13" t="inlineStr">
        <is>
          <t>finetuned</t>
        </is>
      </c>
      <c r="J53" s="13" t="inlineStr">
        <is>
          <t>baseline</t>
        </is>
      </c>
      <c r="K53" s="13" t="inlineStr">
        <is>
          <t>B</t>
        </is>
      </c>
      <c r="L53" s="13" t="inlineStr">
        <is>
          <t>B</t>
        </is>
      </c>
      <c r="M53" s="13" t="inlineStr">
        <is>
          <t>B</t>
        </is>
      </c>
      <c r="N53" s="13">
        <f>IF(K53="A", I53, J53)</f>
        <v/>
      </c>
      <c r="O53" s="13">
        <f>IF(L53="A", I53, J53)</f>
        <v/>
      </c>
      <c r="P53" s="13">
        <f>IF(M53="A", I53, J53)</f>
        <v/>
      </c>
      <c r="Q53" s="13" t="n"/>
      <c r="R53" s="13" t="inlineStr">
        <is>
          <t>Vocal</t>
        </is>
      </c>
      <c r="S53" s="13" t="inlineStr">
        <is>
          <t>test</t>
        </is>
      </c>
      <c r="T53" s="13" t="n"/>
    </row>
    <row r="54" ht="15" customHeight="1">
      <c r="A54" s="13" t="inlineStr">
        <is>
          <t>PAFF06B5</t>
        </is>
      </c>
      <c r="B54" s="13">
        <f>VLOOKUP(A54,Table1[[#All],[Participant ID]:[Persona]],7,0)</f>
        <v/>
      </c>
      <c r="C54" s="15" t="inlineStr">
        <is>
          <t>2026-04-05T16:49:23</t>
        </is>
      </c>
      <c r="D54" s="13" t="inlineStr">
        <is>
          <t>P06</t>
        </is>
      </c>
      <c r="E54" s="13" t="inlineStr">
        <is>
          <t>Seshachala_Nayakam_seg0142</t>
        </is>
      </c>
      <c r="F54" s="13" t="n">
        <v>5</v>
      </c>
      <c r="G54" s="13" t="inlineStr">
        <is>
          <t>audio/pairwise/Seshachala_Nayakam_seg0142-baseline_20s.wav</t>
        </is>
      </c>
      <c r="H54" s="13" t="inlineStr">
        <is>
          <t>audio/pairwise/Seshachala_Nayakam_seg0142-finetuned_20s.wav</t>
        </is>
      </c>
      <c r="I54" s="13" t="inlineStr">
        <is>
          <t>baseline</t>
        </is>
      </c>
      <c r="J54" s="13" t="inlineStr">
        <is>
          <t>finetuned</t>
        </is>
      </c>
      <c r="K54" s="13" t="inlineStr">
        <is>
          <t>B</t>
        </is>
      </c>
      <c r="L54" s="13" t="inlineStr">
        <is>
          <t>B</t>
        </is>
      </c>
      <c r="M54" s="13" t="inlineStr">
        <is>
          <t>B</t>
        </is>
      </c>
      <c r="N54" s="13">
        <f>IF(K54="A", I54, J54)</f>
        <v/>
      </c>
      <c r="O54" s="13">
        <f>IF(L54="A", I54, J54)</f>
        <v/>
      </c>
      <c r="P54" s="13">
        <f>IF(M54="A", I54, J54)</f>
        <v/>
      </c>
      <c r="Q54" s="13" t="n"/>
      <c r="R54" s="13" t="inlineStr">
        <is>
          <t>Instrumental - Violin</t>
        </is>
      </c>
      <c r="S54" s="13" t="inlineStr">
        <is>
          <t>test</t>
        </is>
      </c>
      <c r="T54" s="13" t="n"/>
    </row>
    <row r="55" ht="15" customHeight="1">
      <c r="A55" s="13" t="inlineStr">
        <is>
          <t>PAFF06B5</t>
        </is>
      </c>
      <c r="B55" s="13">
        <f>VLOOKUP(A55,Table1[[#All],[Participant ID]:[Persona]],7,0)</f>
        <v/>
      </c>
      <c r="C55" s="15" t="inlineStr">
        <is>
          <t>2026-04-05T16:49:23</t>
        </is>
      </c>
      <c r="D55" s="13" t="inlineStr">
        <is>
          <t>P01</t>
        </is>
      </c>
      <c r="E55" s="13" t="inlineStr">
        <is>
          <t>Karpagambike_seg0044</t>
        </is>
      </c>
      <c r="F55" s="13" t="n">
        <v>6</v>
      </c>
      <c r="G55" s="13" t="inlineStr">
        <is>
          <t>audio/pairwise/Karpagambike_seg0044-finetuned_20s.wav</t>
        </is>
      </c>
      <c r="H55" s="13" t="inlineStr">
        <is>
          <t>audio/pairwise/Karpagambike_seg0044-baseline_20s.wav</t>
        </is>
      </c>
      <c r="I55" s="13" t="inlineStr">
        <is>
          <t>finetuned</t>
        </is>
      </c>
      <c r="J55" s="13" t="inlineStr">
        <is>
          <t>baseline</t>
        </is>
      </c>
      <c r="K55" s="13" t="inlineStr">
        <is>
          <t>B</t>
        </is>
      </c>
      <c r="L55" s="13" t="inlineStr">
        <is>
          <t>B</t>
        </is>
      </c>
      <c r="M55" s="13" t="inlineStr">
        <is>
          <t>B</t>
        </is>
      </c>
      <c r="N55" s="13">
        <f>IF(K55="A", I55, J55)</f>
        <v/>
      </c>
      <c r="O55" s="13">
        <f>IF(L55="A", I55, J55)</f>
        <v/>
      </c>
      <c r="P55" s="13">
        <f>IF(M55="A", I55, J55)</f>
        <v/>
      </c>
      <c r="Q55" s="13" t="n"/>
      <c r="R55" s="13" t="inlineStr">
        <is>
          <t>Vocal</t>
        </is>
      </c>
      <c r="S55" s="13" t="inlineStr">
        <is>
          <t>test</t>
        </is>
      </c>
      <c r="T55" s="13" t="n"/>
    </row>
    <row r="56" ht="15" customHeight="1">
      <c r="A56" s="13" t="inlineStr">
        <is>
          <t>PAFD458E</t>
        </is>
      </c>
      <c r="B56" s="13">
        <f>VLOOKUP(A56,Table1[[#All],[Participant ID]:[Persona]],7,0)</f>
        <v/>
      </c>
      <c r="C56" s="15" t="inlineStr">
        <is>
          <t>2026-04-05T17:07:26</t>
        </is>
      </c>
      <c r="D56" s="13" t="inlineStr">
        <is>
          <t>P03</t>
        </is>
      </c>
      <c r="E56" s="13" t="inlineStr">
        <is>
          <t>Ramanatham_Bhajeham_seg0029</t>
        </is>
      </c>
      <c r="F56" s="13" t="n">
        <v>1</v>
      </c>
      <c r="G56" s="13" t="inlineStr">
        <is>
          <t>audio/pairwise/Ramanatham_Bhajeham_seg0029-baseline_20s.wav</t>
        </is>
      </c>
      <c r="H56" s="13" t="inlineStr">
        <is>
          <t>audio/pairwise/Ramanatham_Bhajeham_seg0029-finetuned_20s.wav</t>
        </is>
      </c>
      <c r="I56" s="13" t="inlineStr">
        <is>
          <t>baseline</t>
        </is>
      </c>
      <c r="J56" s="13" t="inlineStr">
        <is>
          <t>finetuned</t>
        </is>
      </c>
      <c r="K56" s="13" t="inlineStr">
        <is>
          <t>A</t>
        </is>
      </c>
      <c r="L56" s="13" t="inlineStr">
        <is>
          <t>A</t>
        </is>
      </c>
      <c r="M56" s="13" t="inlineStr">
        <is>
          <t>A</t>
        </is>
      </c>
      <c r="N56" s="13">
        <f>IF(K56="A", I56, J56)</f>
        <v/>
      </c>
      <c r="O56" s="13">
        <f>IF(L56="A", I56, J56)</f>
        <v/>
      </c>
      <c r="P56" s="13">
        <f>IF(M56="A", I56, J56)</f>
        <v/>
      </c>
      <c r="Q56" s="13" t="n"/>
      <c r="R56" s="13" t="inlineStr">
        <is>
          <t>Vocal</t>
        </is>
      </c>
      <c r="S56" s="13" t="inlineStr">
        <is>
          <t>test</t>
        </is>
      </c>
      <c r="T56" s="13" t="n"/>
    </row>
    <row r="57" ht="15" customHeight="1">
      <c r="A57" s="13" t="inlineStr">
        <is>
          <t>PAFD458E</t>
        </is>
      </c>
      <c r="B57" s="13">
        <f>VLOOKUP(A57,Table1[[#All],[Participant ID]:[Persona]],7,0)</f>
        <v/>
      </c>
      <c r="C57" s="15" t="inlineStr">
        <is>
          <t>2026-04-05T17:07:26</t>
        </is>
      </c>
      <c r="D57" s="13" t="inlineStr">
        <is>
          <t>P06</t>
        </is>
      </c>
      <c r="E57" s="13" t="inlineStr">
        <is>
          <t>Seshachala_Nayakam_seg0142</t>
        </is>
      </c>
      <c r="F57" s="13" t="n">
        <v>2</v>
      </c>
      <c r="G57" s="13" t="inlineStr">
        <is>
          <t>audio/pairwise/Seshachala_Nayakam_seg0142-baseline_20s.wav</t>
        </is>
      </c>
      <c r="H57" s="13" t="inlineStr">
        <is>
          <t>audio/pairwise/Seshachala_Nayakam_seg0142-finetuned_20s.wav</t>
        </is>
      </c>
      <c r="I57" s="13" t="inlineStr">
        <is>
          <t>baseline</t>
        </is>
      </c>
      <c r="J57" s="13" t="inlineStr">
        <is>
          <t>finetuned</t>
        </is>
      </c>
      <c r="K57" s="13" t="inlineStr">
        <is>
          <t>B</t>
        </is>
      </c>
      <c r="L57" s="13" t="inlineStr">
        <is>
          <t>B</t>
        </is>
      </c>
      <c r="M57" s="13" t="inlineStr">
        <is>
          <t>B</t>
        </is>
      </c>
      <c r="N57" s="13">
        <f>IF(K57="A", I57, J57)</f>
        <v/>
      </c>
      <c r="O57" s="13">
        <f>IF(L57="A", I57, J57)</f>
        <v/>
      </c>
      <c r="P57" s="13">
        <f>IF(M57="A", I57, J57)</f>
        <v/>
      </c>
      <c r="Q57" s="13" t="n"/>
      <c r="R57" s="13" t="inlineStr">
        <is>
          <t>Instrumental - Violin</t>
        </is>
      </c>
      <c r="S57" s="13" t="inlineStr">
        <is>
          <t>test</t>
        </is>
      </c>
      <c r="T57" s="13" t="n"/>
    </row>
    <row r="58" ht="15" customHeight="1">
      <c r="A58" s="13" t="inlineStr">
        <is>
          <t>PAFD458E</t>
        </is>
      </c>
      <c r="B58" s="13">
        <f>VLOOKUP(A58,Table1[[#All],[Participant ID]:[Persona]],7,0)</f>
        <v/>
      </c>
      <c r="C58" s="15" t="inlineStr">
        <is>
          <t>2026-04-05T17:07:26</t>
        </is>
      </c>
      <c r="D58" s="13" t="inlineStr">
        <is>
          <t>P04</t>
        </is>
      </c>
      <c r="E58" s="13" t="inlineStr">
        <is>
          <t>Deva_Deva_Jagadeesha_seg0006</t>
        </is>
      </c>
      <c r="F58" s="13" t="n">
        <v>3</v>
      </c>
      <c r="G58" s="13" t="inlineStr">
        <is>
          <t>audio/pairwise/Deva_Deva_Jagadeesha_seg0006-finetuned_20s.wav</t>
        </is>
      </c>
      <c r="H58" s="13" t="inlineStr">
        <is>
          <t>audio/pairwise/Deva_Deva_Jagadeesha_seg0006-baseline_20s.wav</t>
        </is>
      </c>
      <c r="I58" s="13" t="inlineStr">
        <is>
          <t>finetuned</t>
        </is>
      </c>
      <c r="J58" s="13" t="inlineStr">
        <is>
          <t>baseline</t>
        </is>
      </c>
      <c r="K58" s="13" t="inlineStr">
        <is>
          <t>A</t>
        </is>
      </c>
      <c r="L58" s="13" t="inlineStr">
        <is>
          <t>A</t>
        </is>
      </c>
      <c r="M58" s="13" t="inlineStr">
        <is>
          <t>A</t>
        </is>
      </c>
      <c r="N58" s="13">
        <f>IF(K58="A", I58, J58)</f>
        <v/>
      </c>
      <c r="O58" s="13">
        <f>IF(L58="A", I58, J58)</f>
        <v/>
      </c>
      <c r="P58" s="13">
        <f>IF(M58="A", I58, J58)</f>
        <v/>
      </c>
      <c r="Q58" s="13" t="n"/>
      <c r="R58" s="13" t="inlineStr">
        <is>
          <t>Instrumental - Violin</t>
        </is>
      </c>
      <c r="S58" s="13" t="inlineStr">
        <is>
          <t>test</t>
        </is>
      </c>
      <c r="T58" s="13" t="n"/>
    </row>
    <row r="59" ht="15" customHeight="1">
      <c r="A59" s="13" t="inlineStr">
        <is>
          <t>PAFD458E</t>
        </is>
      </c>
      <c r="B59" s="13">
        <f>VLOOKUP(A59,Table1[[#All],[Participant ID]:[Persona]],7,0)</f>
        <v/>
      </c>
      <c r="C59" s="15" t="inlineStr">
        <is>
          <t>2026-04-05T17:07:26</t>
        </is>
      </c>
      <c r="D59" s="13" t="inlineStr">
        <is>
          <t>P05</t>
        </is>
      </c>
      <c r="E59" s="13" t="inlineStr">
        <is>
          <t>Nannupalimpa_seg0235</t>
        </is>
      </c>
      <c r="F59" s="13" t="n">
        <v>4</v>
      </c>
      <c r="G59" s="13" t="inlineStr">
        <is>
          <t>audio/pairwise/Nannupalimpa_seg0235-baseline_20s.wav</t>
        </is>
      </c>
      <c r="H59" s="13" t="inlineStr">
        <is>
          <t>audio/pairwise/Nannupalimpa_seg0235-finetuned_20s.wav</t>
        </is>
      </c>
      <c r="I59" s="13" t="inlineStr">
        <is>
          <t>baseline</t>
        </is>
      </c>
      <c r="J59" s="13" t="inlineStr">
        <is>
          <t>finetuned</t>
        </is>
      </c>
      <c r="K59" s="13" t="inlineStr">
        <is>
          <t>B</t>
        </is>
      </c>
      <c r="L59" s="13" t="inlineStr">
        <is>
          <t>B</t>
        </is>
      </c>
      <c r="M59" s="13" t="inlineStr">
        <is>
          <t>B</t>
        </is>
      </c>
      <c r="N59" s="13">
        <f>IF(K59="A", I59, J59)</f>
        <v/>
      </c>
      <c r="O59" s="13">
        <f>IF(L59="A", I59, J59)</f>
        <v/>
      </c>
      <c r="P59" s="13">
        <f>IF(M59="A", I59, J59)</f>
        <v/>
      </c>
      <c r="Q59" s="13" t="n"/>
      <c r="R59" s="13" t="inlineStr">
        <is>
          <t>Percussion - Mirudhangam</t>
        </is>
      </c>
      <c r="S59" s="13" t="inlineStr">
        <is>
          <t>test</t>
        </is>
      </c>
      <c r="T59" s="13" t="n"/>
    </row>
    <row r="60" ht="15" customHeight="1">
      <c r="A60" s="13" t="inlineStr">
        <is>
          <t>PAFD458E</t>
        </is>
      </c>
      <c r="B60" s="13">
        <f>VLOOKUP(A60,Table1[[#All],[Participant ID]:[Persona]],7,0)</f>
        <v/>
      </c>
      <c r="C60" s="15" t="inlineStr">
        <is>
          <t>2026-04-05T17:07:26</t>
        </is>
      </c>
      <c r="D60" s="13" t="inlineStr">
        <is>
          <t>P02</t>
        </is>
      </c>
      <c r="E60" s="13" t="inlineStr">
        <is>
          <t>Raksha_Bettare_seg0201</t>
        </is>
      </c>
      <c r="F60" s="13" t="n">
        <v>5</v>
      </c>
      <c r="G60" s="13" t="inlineStr">
        <is>
          <t>audio/pairwise/Raksha_Bettare_seg0201-finetuned_20s.wav</t>
        </is>
      </c>
      <c r="H60" s="13" t="inlineStr">
        <is>
          <t>audio/pairwise/Raksha_Bettare_seg0201-baseline_20s.wav</t>
        </is>
      </c>
      <c r="I60" s="13" t="inlineStr">
        <is>
          <t>finetuned</t>
        </is>
      </c>
      <c r="J60" s="13" t="inlineStr">
        <is>
          <t>baseline</t>
        </is>
      </c>
      <c r="K60" s="13" t="inlineStr">
        <is>
          <t>A</t>
        </is>
      </c>
      <c r="L60" s="13" t="inlineStr">
        <is>
          <t>A</t>
        </is>
      </c>
      <c r="M60" s="13" t="inlineStr">
        <is>
          <t>A</t>
        </is>
      </c>
      <c r="N60" s="13">
        <f>IF(K60="A", I60, J60)</f>
        <v/>
      </c>
      <c r="O60" s="13">
        <f>IF(L60="A", I60, J60)</f>
        <v/>
      </c>
      <c r="P60" s="13">
        <f>IF(M60="A", I60, J60)</f>
        <v/>
      </c>
      <c r="Q60" s="13" t="n"/>
      <c r="R60" s="13" t="inlineStr">
        <is>
          <t>Vocal</t>
        </is>
      </c>
      <c r="S60" s="13" t="inlineStr">
        <is>
          <t>test</t>
        </is>
      </c>
      <c r="T60" s="13" t="n"/>
    </row>
    <row r="61" ht="15" customHeight="1">
      <c r="A61" s="13" t="inlineStr">
        <is>
          <t>PAFD458E</t>
        </is>
      </c>
      <c r="B61" s="13">
        <f>VLOOKUP(A61,Table1[[#All],[Participant ID]:[Persona]],7,0)</f>
        <v/>
      </c>
      <c r="C61" s="15" t="inlineStr">
        <is>
          <t>2026-04-05T17:07:26</t>
        </is>
      </c>
      <c r="D61" s="13" t="inlineStr">
        <is>
          <t>P01</t>
        </is>
      </c>
      <c r="E61" s="13" t="inlineStr">
        <is>
          <t>Karpagambike_seg0044</t>
        </is>
      </c>
      <c r="F61" s="13" t="n">
        <v>6</v>
      </c>
      <c r="G61" s="13" t="inlineStr">
        <is>
          <t>audio/pairwise/Karpagambike_seg0044-finetuned_20s.wav</t>
        </is>
      </c>
      <c r="H61" s="13" t="inlineStr">
        <is>
          <t>audio/pairwise/Karpagambike_seg0044-baseline_20s.wav</t>
        </is>
      </c>
      <c r="I61" s="13" t="inlineStr">
        <is>
          <t>finetuned</t>
        </is>
      </c>
      <c r="J61" s="13" t="inlineStr">
        <is>
          <t>baseline</t>
        </is>
      </c>
      <c r="K61" s="13" t="inlineStr">
        <is>
          <t>B</t>
        </is>
      </c>
      <c r="L61" s="13" t="inlineStr">
        <is>
          <t>A</t>
        </is>
      </c>
      <c r="M61" s="13" t="inlineStr">
        <is>
          <t>B</t>
        </is>
      </c>
      <c r="N61" s="13">
        <f>IF(K61="A", I61, J61)</f>
        <v/>
      </c>
      <c r="O61" s="13">
        <f>IF(L61="A", I61, J61)</f>
        <v/>
      </c>
      <c r="P61" s="13">
        <f>IF(M61="A", I61, J61)</f>
        <v/>
      </c>
      <c r="Q61" s="13" t="n"/>
      <c r="R61" s="13" t="inlineStr">
        <is>
          <t>Vocal</t>
        </is>
      </c>
      <c r="S61" s="13" t="inlineStr">
        <is>
          <t>test</t>
        </is>
      </c>
      <c r="T61" s="13" t="n"/>
    </row>
    <row r="62" ht="15" customHeight="1">
      <c r="A62" s="13" t="inlineStr">
        <is>
          <t>PA63AB30</t>
        </is>
      </c>
      <c r="B62" s="13">
        <f>VLOOKUP(A62,Table1[[#All],[Participant ID]:[Persona]],7,0)</f>
        <v/>
      </c>
      <c r="C62" s="15" t="inlineStr">
        <is>
          <t>2026-04-06T02:35:12</t>
        </is>
      </c>
      <c r="D62" s="13" t="inlineStr">
        <is>
          <t>P02</t>
        </is>
      </c>
      <c r="E62" s="13" t="inlineStr">
        <is>
          <t>Raksha_Bettare_seg0201</t>
        </is>
      </c>
      <c r="F62" s="13" t="n">
        <v>1</v>
      </c>
      <c r="G62" s="13" t="inlineStr">
        <is>
          <t>audio/pairwise/Raksha_Bettare_seg0201-finetuned_20s.wav</t>
        </is>
      </c>
      <c r="H62" s="13" t="inlineStr">
        <is>
          <t>audio/pairwise/Raksha_Bettare_seg0201-baseline_20s.wav</t>
        </is>
      </c>
      <c r="I62" s="13" t="inlineStr">
        <is>
          <t>finetuned</t>
        </is>
      </c>
      <c r="J62" s="13" t="inlineStr">
        <is>
          <t>baseline</t>
        </is>
      </c>
      <c r="K62" s="13" t="inlineStr">
        <is>
          <t>B</t>
        </is>
      </c>
      <c r="L62" s="13" t="inlineStr">
        <is>
          <t>A</t>
        </is>
      </c>
      <c r="M62" s="13" t="inlineStr">
        <is>
          <t>B</t>
        </is>
      </c>
      <c r="N62" s="13">
        <f>IF(K62="A", I62, J62)</f>
        <v/>
      </c>
      <c r="O62" s="13">
        <f>IF(L62="A", I62, J62)</f>
        <v/>
      </c>
      <c r="P62" s="13">
        <f>IF(M62="A", I62, J62)</f>
        <v/>
      </c>
      <c r="Q62" s="13" t="n"/>
      <c r="R62" s="13" t="inlineStr">
        <is>
          <t>Vocal</t>
        </is>
      </c>
      <c r="S62" s="13" t="inlineStr">
        <is>
          <t>test</t>
        </is>
      </c>
      <c r="T62" s="13" t="n"/>
    </row>
    <row r="63" ht="15" customHeight="1">
      <c r="A63" s="13" t="inlineStr">
        <is>
          <t>PA63AB30</t>
        </is>
      </c>
      <c r="B63" s="13">
        <f>VLOOKUP(A63,Table1[[#All],[Participant ID]:[Persona]],7,0)</f>
        <v/>
      </c>
      <c r="C63" s="15" t="inlineStr">
        <is>
          <t>2026-04-06T02:35:12</t>
        </is>
      </c>
      <c r="D63" s="13" t="inlineStr">
        <is>
          <t>P05</t>
        </is>
      </c>
      <c r="E63" s="13" t="inlineStr">
        <is>
          <t>Nannupalimpa_seg0235</t>
        </is>
      </c>
      <c r="F63" s="13" t="n">
        <v>2</v>
      </c>
      <c r="G63" s="13" t="inlineStr">
        <is>
          <t>audio/pairwise/Nannupalimpa_seg0235-baseline_20s.wav</t>
        </is>
      </c>
      <c r="H63" s="13" t="inlineStr">
        <is>
          <t>audio/pairwise/Nannupalimpa_seg0235-finetuned_20s.wav</t>
        </is>
      </c>
      <c r="I63" s="13" t="inlineStr">
        <is>
          <t>baseline</t>
        </is>
      </c>
      <c r="J63" s="13" t="inlineStr">
        <is>
          <t>finetuned</t>
        </is>
      </c>
      <c r="K63" s="13" t="inlineStr">
        <is>
          <t>B</t>
        </is>
      </c>
      <c r="L63" s="13" t="inlineStr">
        <is>
          <t>A</t>
        </is>
      </c>
      <c r="M63" s="13" t="inlineStr">
        <is>
          <t>B</t>
        </is>
      </c>
      <c r="N63" s="13">
        <f>IF(K63="A", I63, J63)</f>
        <v/>
      </c>
      <c r="O63" s="13">
        <f>IF(L63="A", I63, J63)</f>
        <v/>
      </c>
      <c r="P63" s="13">
        <f>IF(M63="A", I63, J63)</f>
        <v/>
      </c>
      <c r="Q63" s="13" t="n"/>
      <c r="R63" s="13" t="inlineStr">
        <is>
          <t>Percussion - Mirudhangam</t>
        </is>
      </c>
      <c r="S63" s="13" t="inlineStr">
        <is>
          <t>test</t>
        </is>
      </c>
      <c r="T63" s="13" t="n"/>
    </row>
    <row r="64" ht="15" customHeight="1">
      <c r="A64" s="13" t="inlineStr">
        <is>
          <t>PA63AB30</t>
        </is>
      </c>
      <c r="B64" s="13">
        <f>VLOOKUP(A64,Table1[[#All],[Participant ID]:[Persona]],7,0)</f>
        <v/>
      </c>
      <c r="C64" s="15" t="inlineStr">
        <is>
          <t>2026-04-06T02:35:12</t>
        </is>
      </c>
      <c r="D64" s="13" t="inlineStr">
        <is>
          <t>P03</t>
        </is>
      </c>
      <c r="E64" s="13" t="inlineStr">
        <is>
          <t>Ramanatham_Bhajeham_seg0029</t>
        </is>
      </c>
      <c r="F64" s="13" t="n">
        <v>3</v>
      </c>
      <c r="G64" s="13" t="inlineStr">
        <is>
          <t>audio/pairwise/Ramanatham_Bhajeham_seg0029-baseline_20s.wav</t>
        </is>
      </c>
      <c r="H64" s="13" t="inlineStr">
        <is>
          <t>audio/pairwise/Ramanatham_Bhajeham_seg0029-finetuned_20s.wav</t>
        </is>
      </c>
      <c r="I64" s="13" t="inlineStr">
        <is>
          <t>baseline</t>
        </is>
      </c>
      <c r="J64" s="13" t="inlineStr">
        <is>
          <t>finetuned</t>
        </is>
      </c>
      <c r="K64" s="13" t="inlineStr">
        <is>
          <t>A</t>
        </is>
      </c>
      <c r="L64" s="13" t="inlineStr">
        <is>
          <t>B</t>
        </is>
      </c>
      <c r="M64" s="13" t="inlineStr">
        <is>
          <t>A</t>
        </is>
      </c>
      <c r="N64" s="13">
        <f>IF(K64="A", I64, J64)</f>
        <v/>
      </c>
      <c r="O64" s="13">
        <f>IF(L64="A", I64, J64)</f>
        <v/>
      </c>
      <c r="P64" s="13">
        <f>IF(M64="A", I64, J64)</f>
        <v/>
      </c>
      <c r="Q64" s="13" t="n"/>
      <c r="R64" s="13" t="inlineStr">
        <is>
          <t>Vocal</t>
        </is>
      </c>
      <c r="S64" s="13" t="inlineStr">
        <is>
          <t>test</t>
        </is>
      </c>
      <c r="T64" s="13" t="n"/>
    </row>
    <row r="65" ht="15" customHeight="1">
      <c r="A65" s="13" t="inlineStr">
        <is>
          <t>PA63AB30</t>
        </is>
      </c>
      <c r="B65" s="13">
        <f>VLOOKUP(A65,Table1[[#All],[Participant ID]:[Persona]],7,0)</f>
        <v/>
      </c>
      <c r="C65" s="15" t="inlineStr">
        <is>
          <t>2026-04-06T02:35:12</t>
        </is>
      </c>
      <c r="D65" s="13" t="inlineStr">
        <is>
          <t>P06</t>
        </is>
      </c>
      <c r="E65" s="13" t="inlineStr">
        <is>
          <t>Seshachala_Nayakam_seg0142</t>
        </is>
      </c>
      <c r="F65" s="13" t="n">
        <v>4</v>
      </c>
      <c r="G65" s="13" t="inlineStr">
        <is>
          <t>audio/pairwise/Seshachala_Nayakam_seg0142-baseline_20s.wav</t>
        </is>
      </c>
      <c r="H65" s="13" t="inlineStr">
        <is>
          <t>audio/pairwise/Seshachala_Nayakam_seg0142-finetuned_20s.wav</t>
        </is>
      </c>
      <c r="I65" s="13" t="inlineStr">
        <is>
          <t>baseline</t>
        </is>
      </c>
      <c r="J65" s="13" t="inlineStr">
        <is>
          <t>finetuned</t>
        </is>
      </c>
      <c r="K65" s="13" t="inlineStr">
        <is>
          <t>B</t>
        </is>
      </c>
      <c r="L65" s="13" t="inlineStr">
        <is>
          <t>B</t>
        </is>
      </c>
      <c r="M65" s="13" t="inlineStr">
        <is>
          <t>B</t>
        </is>
      </c>
      <c r="N65" s="13">
        <f>IF(K65="A", I65, J65)</f>
        <v/>
      </c>
      <c r="O65" s="13">
        <f>IF(L65="A", I65, J65)</f>
        <v/>
      </c>
      <c r="P65" s="13">
        <f>IF(M65="A", I65, J65)</f>
        <v/>
      </c>
      <c r="Q65" s="13" t="n"/>
      <c r="R65" s="13" t="inlineStr">
        <is>
          <t>Instrumental - Violin</t>
        </is>
      </c>
      <c r="S65" s="13" t="inlineStr">
        <is>
          <t>test</t>
        </is>
      </c>
      <c r="T65" s="13" t="n"/>
    </row>
    <row r="66" ht="15" customHeight="1">
      <c r="A66" s="13" t="inlineStr">
        <is>
          <t>PA63AB30</t>
        </is>
      </c>
      <c r="B66" s="13">
        <f>VLOOKUP(A66,Table1[[#All],[Participant ID]:[Persona]],7,0)</f>
        <v/>
      </c>
      <c r="C66" s="15" t="inlineStr">
        <is>
          <t>2026-04-06T02:35:12</t>
        </is>
      </c>
      <c r="D66" s="13" t="inlineStr">
        <is>
          <t>P04</t>
        </is>
      </c>
      <c r="E66" s="13" t="inlineStr">
        <is>
          <t>Deva_Deva_Jagadeesha_seg0006</t>
        </is>
      </c>
      <c r="F66" s="13" t="n">
        <v>5</v>
      </c>
      <c r="G66" s="13" t="inlineStr">
        <is>
          <t>audio/pairwise/Deva_Deva_Jagadeesha_seg0006-finetuned_20s.wav</t>
        </is>
      </c>
      <c r="H66" s="13" t="inlineStr">
        <is>
          <t>audio/pairwise/Deva_Deva_Jagadeesha_seg0006-baseline_20s.wav</t>
        </is>
      </c>
      <c r="I66" s="13" t="inlineStr">
        <is>
          <t>finetuned</t>
        </is>
      </c>
      <c r="J66" s="13" t="inlineStr">
        <is>
          <t>baseline</t>
        </is>
      </c>
      <c r="K66" s="13" t="inlineStr">
        <is>
          <t>A</t>
        </is>
      </c>
      <c r="L66" s="13" t="inlineStr">
        <is>
          <t>A</t>
        </is>
      </c>
      <c r="M66" s="13" t="inlineStr">
        <is>
          <t>B</t>
        </is>
      </c>
      <c r="N66" s="13">
        <f>IF(K66="A", I66, J66)</f>
        <v/>
      </c>
      <c r="O66" s="13">
        <f>IF(L66="A", I66, J66)</f>
        <v/>
      </c>
      <c r="P66" s="13">
        <f>IF(M66="A", I66, J66)</f>
        <v/>
      </c>
      <c r="Q66" s="13" t="n"/>
      <c r="R66" s="13" t="inlineStr">
        <is>
          <t>Instrumental - Violin</t>
        </is>
      </c>
      <c r="S66" s="13" t="inlineStr">
        <is>
          <t>test</t>
        </is>
      </c>
      <c r="T66" s="13" t="n"/>
    </row>
    <row r="67" ht="15" customHeight="1">
      <c r="A67" s="13" t="inlineStr">
        <is>
          <t>PA63AB30</t>
        </is>
      </c>
      <c r="B67" s="13">
        <f>VLOOKUP(A67,Table1[[#All],[Participant ID]:[Persona]],7,0)</f>
        <v/>
      </c>
      <c r="C67" s="15" t="inlineStr">
        <is>
          <t>2026-04-06T02:35:12</t>
        </is>
      </c>
      <c r="D67" s="13" t="inlineStr">
        <is>
          <t>P01</t>
        </is>
      </c>
      <c r="E67" s="13" t="inlineStr">
        <is>
          <t>Karpagambike_seg0044</t>
        </is>
      </c>
      <c r="F67" s="13" t="n">
        <v>6</v>
      </c>
      <c r="G67" s="13" t="inlineStr">
        <is>
          <t>audio/pairwise/Karpagambike_seg0044-finetuned_20s.wav</t>
        </is>
      </c>
      <c r="H67" s="13" t="inlineStr">
        <is>
          <t>audio/pairwise/Karpagambike_seg0044-baseline_20s.wav</t>
        </is>
      </c>
      <c r="I67" s="13" t="inlineStr">
        <is>
          <t>finetuned</t>
        </is>
      </c>
      <c r="J67" s="13" t="inlineStr">
        <is>
          <t>baseline</t>
        </is>
      </c>
      <c r="K67" s="13" t="inlineStr">
        <is>
          <t>B</t>
        </is>
      </c>
      <c r="L67" s="13" t="inlineStr">
        <is>
          <t>B</t>
        </is>
      </c>
      <c r="M67" s="13" t="inlineStr">
        <is>
          <t>A</t>
        </is>
      </c>
      <c r="N67" s="13">
        <f>IF(K67="A", I67, J67)</f>
        <v/>
      </c>
      <c r="O67" s="13">
        <f>IF(L67="A", I67, J67)</f>
        <v/>
      </c>
      <c r="P67" s="13">
        <f>IF(M67="A", I67, J67)</f>
        <v/>
      </c>
      <c r="Q67" s="13" t="n"/>
      <c r="R67" s="13" t="inlineStr">
        <is>
          <t>Vocal</t>
        </is>
      </c>
      <c r="S67" s="13" t="inlineStr">
        <is>
          <t>test</t>
        </is>
      </c>
      <c r="T67" s="13" t="n"/>
    </row>
    <row r="68" ht="15" customHeight="1">
      <c r="A68" s="13" t="inlineStr">
        <is>
          <t>PAC63068</t>
        </is>
      </c>
      <c r="B68" s="13">
        <f>VLOOKUP(A68,Table1[[#All],[Participant ID]:[Persona]],7,0)</f>
        <v/>
      </c>
      <c r="C68" s="15" t="inlineStr">
        <is>
          <t>2026-04-06T07:09:05</t>
        </is>
      </c>
      <c r="D68" s="13" t="inlineStr">
        <is>
          <t>P02</t>
        </is>
      </c>
      <c r="E68" s="13" t="inlineStr">
        <is>
          <t>Raksha_Bettare_seg0201</t>
        </is>
      </c>
      <c r="F68" s="13" t="n">
        <v>1</v>
      </c>
      <c r="G68" s="13" t="inlineStr">
        <is>
          <t>audio/pairwise/Raksha_Bettare_seg0201-baseline_20s.wav</t>
        </is>
      </c>
      <c r="H68" s="13" t="inlineStr">
        <is>
          <t>audio/pairwise/Raksha_Bettare_seg0201-finetuned_20s.wav</t>
        </is>
      </c>
      <c r="I68" s="13" t="inlineStr">
        <is>
          <t>baseline</t>
        </is>
      </c>
      <c r="J68" s="13" t="inlineStr">
        <is>
          <t>finetuned</t>
        </is>
      </c>
      <c r="K68" s="13" t="inlineStr">
        <is>
          <t>A</t>
        </is>
      </c>
      <c r="L68" s="13" t="inlineStr">
        <is>
          <t>A</t>
        </is>
      </c>
      <c r="M68" s="13" t="inlineStr">
        <is>
          <t>B</t>
        </is>
      </c>
      <c r="N68" s="13">
        <f>IF(K68="A", I68, J68)</f>
        <v/>
      </c>
      <c r="O68" s="13">
        <f>IF(L68="A", I68, J68)</f>
        <v/>
      </c>
      <c r="P68" s="13">
        <f>IF(M68="A", I68, J68)</f>
        <v/>
      </c>
      <c r="Q68" s="13" t="n"/>
      <c r="R68" s="13" t="inlineStr">
        <is>
          <t>Vocal</t>
        </is>
      </c>
      <c r="S68" s="13" t="inlineStr">
        <is>
          <t>test</t>
        </is>
      </c>
      <c r="T68" s="13" t="n"/>
    </row>
    <row r="69" ht="15" customHeight="1">
      <c r="A69" s="13" t="inlineStr">
        <is>
          <t>PAC63068</t>
        </is>
      </c>
      <c r="B69" s="13">
        <f>VLOOKUP(A69,Table1[[#All],[Participant ID]:[Persona]],7,0)</f>
        <v/>
      </c>
      <c r="C69" s="15" t="inlineStr">
        <is>
          <t>2026-04-06T07:09:05</t>
        </is>
      </c>
      <c r="D69" s="13" t="inlineStr">
        <is>
          <t>P04</t>
        </is>
      </c>
      <c r="E69" s="13" t="inlineStr">
        <is>
          <t>Deva_Deva_Jagadeesha_seg0006</t>
        </is>
      </c>
      <c r="F69" s="13" t="n">
        <v>2</v>
      </c>
      <c r="G69" s="13" t="inlineStr">
        <is>
          <t>audio/pairwise/Deva_Deva_Jagadeesha_seg0006-baseline_20s.wav</t>
        </is>
      </c>
      <c r="H69" s="13" t="inlineStr">
        <is>
          <t>audio/pairwise/Deva_Deva_Jagadeesha_seg0006-finetuned_20s.wav</t>
        </is>
      </c>
      <c r="I69" s="13" t="inlineStr">
        <is>
          <t>baseline</t>
        </is>
      </c>
      <c r="J69" s="13" t="inlineStr">
        <is>
          <t>finetuned</t>
        </is>
      </c>
      <c r="K69" s="13" t="inlineStr">
        <is>
          <t>B</t>
        </is>
      </c>
      <c r="L69" s="13" t="inlineStr">
        <is>
          <t>B</t>
        </is>
      </c>
      <c r="M69" s="13" t="inlineStr">
        <is>
          <t>B</t>
        </is>
      </c>
      <c r="N69" s="13">
        <f>IF(K69="A", I69, J69)</f>
        <v/>
      </c>
      <c r="O69" s="13">
        <f>IF(L69="A", I69, J69)</f>
        <v/>
      </c>
      <c r="P69" s="13">
        <f>IF(M69="A", I69, J69)</f>
        <v/>
      </c>
      <c r="Q69" s="13" t="n"/>
      <c r="R69" s="13" t="inlineStr">
        <is>
          <t>Instrumental - Violin</t>
        </is>
      </c>
      <c r="S69" s="13" t="inlineStr">
        <is>
          <t>test</t>
        </is>
      </c>
      <c r="T69" s="13" t="n"/>
    </row>
    <row r="70" ht="15" customHeight="1">
      <c r="A70" s="13" t="inlineStr">
        <is>
          <t>PAC63068</t>
        </is>
      </c>
      <c r="B70" s="13">
        <f>VLOOKUP(A70,Table1[[#All],[Participant ID]:[Persona]],7,0)</f>
        <v/>
      </c>
      <c r="C70" s="15" t="inlineStr">
        <is>
          <t>2026-04-06T07:09:05</t>
        </is>
      </c>
      <c r="D70" s="13" t="inlineStr">
        <is>
          <t>P01</t>
        </is>
      </c>
      <c r="E70" s="13" t="inlineStr">
        <is>
          <t>Karpagambike_seg0044</t>
        </is>
      </c>
      <c r="F70" s="13" t="n">
        <v>3</v>
      </c>
      <c r="G70" s="13" t="inlineStr">
        <is>
          <t>audio/pairwise/Karpagambike_seg0044-finetuned_20s.wav</t>
        </is>
      </c>
      <c r="H70" s="13" t="inlineStr">
        <is>
          <t>audio/pairwise/Karpagambike_seg0044-baseline_20s.wav</t>
        </is>
      </c>
      <c r="I70" s="13" t="inlineStr">
        <is>
          <t>finetuned</t>
        </is>
      </c>
      <c r="J70" s="13" t="inlineStr">
        <is>
          <t>baseline</t>
        </is>
      </c>
      <c r="K70" s="13" t="inlineStr">
        <is>
          <t>B</t>
        </is>
      </c>
      <c r="L70" s="13" t="inlineStr">
        <is>
          <t>A</t>
        </is>
      </c>
      <c r="M70" s="13" t="inlineStr">
        <is>
          <t>B</t>
        </is>
      </c>
      <c r="N70" s="13">
        <f>IF(K70="A", I70, J70)</f>
        <v/>
      </c>
      <c r="O70" s="13">
        <f>IF(L70="A", I70, J70)</f>
        <v/>
      </c>
      <c r="P70" s="13">
        <f>IF(M70="A", I70, J70)</f>
        <v/>
      </c>
      <c r="Q70" s="13" t="n"/>
      <c r="R70" s="13" t="inlineStr">
        <is>
          <t>Vocal</t>
        </is>
      </c>
      <c r="S70" s="13" t="inlineStr">
        <is>
          <t>test</t>
        </is>
      </c>
      <c r="T70" s="13" t="n"/>
    </row>
    <row r="71" ht="15" customHeight="1">
      <c r="A71" s="13" t="inlineStr">
        <is>
          <t>PAC63068</t>
        </is>
      </c>
      <c r="B71" s="13">
        <f>VLOOKUP(A71,Table1[[#All],[Participant ID]:[Persona]],7,0)</f>
        <v/>
      </c>
      <c r="C71" s="15" t="inlineStr">
        <is>
          <t>2026-04-06T07:09:05</t>
        </is>
      </c>
      <c r="D71" s="13" t="inlineStr">
        <is>
          <t>P06</t>
        </is>
      </c>
      <c r="E71" s="13" t="inlineStr">
        <is>
          <t>Seshachala_Nayakam_seg0142</t>
        </is>
      </c>
      <c r="F71" s="13" t="n">
        <v>4</v>
      </c>
      <c r="G71" s="13" t="inlineStr">
        <is>
          <t>audio/pairwise/Seshachala_Nayakam_seg0142-finetuned_20s.wav</t>
        </is>
      </c>
      <c r="H71" s="13" t="inlineStr">
        <is>
          <t>audio/pairwise/Seshachala_Nayakam_seg0142-baseline_20s.wav</t>
        </is>
      </c>
      <c r="I71" s="13" t="inlineStr">
        <is>
          <t>finetuned</t>
        </is>
      </c>
      <c r="J71" s="13" t="inlineStr">
        <is>
          <t>baseline</t>
        </is>
      </c>
      <c r="K71" s="13" t="inlineStr">
        <is>
          <t>A</t>
        </is>
      </c>
      <c r="L71" s="13" t="inlineStr">
        <is>
          <t>A</t>
        </is>
      </c>
      <c r="M71" s="13" t="inlineStr">
        <is>
          <t>A</t>
        </is>
      </c>
      <c r="N71" s="13">
        <f>IF(K71="A", I71, J71)</f>
        <v/>
      </c>
      <c r="O71" s="13">
        <f>IF(L71="A", I71, J71)</f>
        <v/>
      </c>
      <c r="P71" s="13">
        <f>IF(M71="A", I71, J71)</f>
        <v/>
      </c>
      <c r="Q71" s="13" t="n"/>
      <c r="R71" s="13" t="inlineStr">
        <is>
          <t>Instrumental - Violin</t>
        </is>
      </c>
      <c r="S71" s="13" t="inlineStr">
        <is>
          <t>test</t>
        </is>
      </c>
      <c r="T71" s="13" t="n"/>
    </row>
    <row r="72" ht="15" customHeight="1">
      <c r="A72" s="13" t="inlineStr">
        <is>
          <t>PAC63068</t>
        </is>
      </c>
      <c r="B72" s="13">
        <f>VLOOKUP(A72,Table1[[#All],[Participant ID]:[Persona]],7,0)</f>
        <v/>
      </c>
      <c r="C72" s="15" t="inlineStr">
        <is>
          <t>2026-04-06T07:09:05</t>
        </is>
      </c>
      <c r="D72" s="13" t="inlineStr">
        <is>
          <t>P05</t>
        </is>
      </c>
      <c r="E72" s="13" t="inlineStr">
        <is>
          <t>Nannupalimpa_seg0235</t>
        </is>
      </c>
      <c r="F72" s="13" t="n">
        <v>5</v>
      </c>
      <c r="G72" s="13" t="inlineStr">
        <is>
          <t>audio/pairwise/Nannupalimpa_seg0235-baseline_20s.wav</t>
        </is>
      </c>
      <c r="H72" s="13" t="inlineStr">
        <is>
          <t>audio/pairwise/Nannupalimpa_seg0235-finetuned_20s.wav</t>
        </is>
      </c>
      <c r="I72" s="13" t="inlineStr">
        <is>
          <t>baseline</t>
        </is>
      </c>
      <c r="J72" s="13" t="inlineStr">
        <is>
          <t>finetuned</t>
        </is>
      </c>
      <c r="K72" s="13" t="inlineStr">
        <is>
          <t>B</t>
        </is>
      </c>
      <c r="L72" s="13" t="inlineStr">
        <is>
          <t>A</t>
        </is>
      </c>
      <c r="M72" s="13" t="inlineStr">
        <is>
          <t>B</t>
        </is>
      </c>
      <c r="N72" s="13">
        <f>IF(K72="A", I72, J72)</f>
        <v/>
      </c>
      <c r="O72" s="13">
        <f>IF(L72="A", I72, J72)</f>
        <v/>
      </c>
      <c r="P72" s="13">
        <f>IF(M72="A", I72, J72)</f>
        <v/>
      </c>
      <c r="Q72" s="13" t="n"/>
      <c r="R72" s="13" t="inlineStr">
        <is>
          <t>Percussion - Mirudhangam</t>
        </is>
      </c>
      <c r="S72" s="13" t="inlineStr">
        <is>
          <t>test</t>
        </is>
      </c>
      <c r="T72" s="13" t="n"/>
    </row>
    <row r="73" ht="15" customHeight="1">
      <c r="A73" s="13" t="inlineStr">
        <is>
          <t>PAC63068</t>
        </is>
      </c>
      <c r="B73" s="13">
        <f>VLOOKUP(A73,Table1[[#All],[Participant ID]:[Persona]],7,0)</f>
        <v/>
      </c>
      <c r="C73" s="15" t="inlineStr">
        <is>
          <t>2026-04-06T07:09:05</t>
        </is>
      </c>
      <c r="D73" s="13" t="inlineStr">
        <is>
          <t>P03</t>
        </is>
      </c>
      <c r="E73" s="13" t="inlineStr">
        <is>
          <t>Ramanatham_Bhajeham_seg0029</t>
        </is>
      </c>
      <c r="F73" s="13" t="n">
        <v>6</v>
      </c>
      <c r="G73" s="13" t="inlineStr">
        <is>
          <t>audio/pairwise/Ramanatham_Bhajeham_seg0029-baseline_20s.wav</t>
        </is>
      </c>
      <c r="H73" s="13" t="inlineStr">
        <is>
          <t>audio/pairwise/Ramanatham_Bhajeham_seg0029-finetuned_20s.wav</t>
        </is>
      </c>
      <c r="I73" s="13" t="inlineStr">
        <is>
          <t>baseline</t>
        </is>
      </c>
      <c r="J73" s="13" t="inlineStr">
        <is>
          <t>finetuned</t>
        </is>
      </c>
      <c r="K73" s="13" t="inlineStr">
        <is>
          <t>A</t>
        </is>
      </c>
      <c r="L73" s="13" t="inlineStr">
        <is>
          <t>A</t>
        </is>
      </c>
      <c r="M73" s="13" t="inlineStr">
        <is>
          <t>B</t>
        </is>
      </c>
      <c r="N73" s="13">
        <f>IF(K73="A", I73, J73)</f>
        <v/>
      </c>
      <c r="O73" s="13">
        <f>IF(L73="A", I73, J73)</f>
        <v/>
      </c>
      <c r="P73" s="13">
        <f>IF(M73="A", I73, J73)</f>
        <v/>
      </c>
      <c r="Q73" s="13" t="n"/>
      <c r="R73" s="13" t="inlineStr">
        <is>
          <t>Vocal</t>
        </is>
      </c>
      <c r="S73" s="13" t="inlineStr">
        <is>
          <t>test</t>
        </is>
      </c>
      <c r="T73" s="13" t="n"/>
    </row>
    <row r="74" ht="15" customHeight="1">
      <c r="A74" s="13" t="inlineStr">
        <is>
          <t>PA733F90</t>
        </is>
      </c>
      <c r="B74" s="13">
        <f>VLOOKUP(A74,Table1[[#All],[Participant ID]:[Persona]],7,0)</f>
        <v/>
      </c>
      <c r="C74" s="15" t="inlineStr">
        <is>
          <t>2026-04-06T10:21:19</t>
        </is>
      </c>
      <c r="D74" s="13" t="inlineStr">
        <is>
          <t>P02</t>
        </is>
      </c>
      <c r="E74" s="13" t="inlineStr">
        <is>
          <t>Raksha_Bettare_seg0201</t>
        </is>
      </c>
      <c r="F74" s="13" t="n">
        <v>1</v>
      </c>
      <c r="G74" s="13" t="inlineStr">
        <is>
          <t>audio/pairwise/Raksha_Bettare_seg0201-finetuned_20s.wav</t>
        </is>
      </c>
      <c r="H74" s="13" t="inlineStr">
        <is>
          <t>audio/pairwise/Raksha_Bettare_seg0201-baseline_20s.wav</t>
        </is>
      </c>
      <c r="I74" s="13" t="inlineStr">
        <is>
          <t>finetuned</t>
        </is>
      </c>
      <c r="J74" s="13" t="inlineStr">
        <is>
          <t>baseline</t>
        </is>
      </c>
      <c r="K74" s="13" t="inlineStr">
        <is>
          <t>B</t>
        </is>
      </c>
      <c r="L74" s="13" t="inlineStr">
        <is>
          <t>B</t>
        </is>
      </c>
      <c r="M74" s="13" t="inlineStr">
        <is>
          <t>B</t>
        </is>
      </c>
      <c r="N74" s="13">
        <f>IF(K74="A", I74, J74)</f>
        <v/>
      </c>
      <c r="O74" s="13">
        <f>IF(L74="A", I74, J74)</f>
        <v/>
      </c>
      <c r="P74" s="13">
        <f>IF(M74="A", I74, J74)</f>
        <v/>
      </c>
      <c r="Q74" s="13" t="n"/>
      <c r="R74" s="13" t="inlineStr">
        <is>
          <t>Vocal</t>
        </is>
      </c>
      <c r="S74" s="13" t="inlineStr">
        <is>
          <t>test</t>
        </is>
      </c>
      <c r="T74" s="13" t="n"/>
    </row>
    <row r="75" ht="15" customHeight="1">
      <c r="A75" s="13" t="inlineStr">
        <is>
          <t>PA733F90</t>
        </is>
      </c>
      <c r="B75" s="13">
        <f>VLOOKUP(A75,Table1[[#All],[Participant ID]:[Persona]],7,0)</f>
        <v/>
      </c>
      <c r="C75" s="15" t="inlineStr">
        <is>
          <t>2026-04-06T10:21:19</t>
        </is>
      </c>
      <c r="D75" s="13" t="inlineStr">
        <is>
          <t>P04</t>
        </is>
      </c>
      <c r="E75" s="13" t="inlineStr">
        <is>
          <t>Deva_Deva_Jagadeesha_seg0006</t>
        </is>
      </c>
      <c r="F75" s="13" t="n">
        <v>2</v>
      </c>
      <c r="G75" s="13" t="inlineStr">
        <is>
          <t>audio/pairwise/Deva_Deva_Jagadeesha_seg0006-baseline_20s.wav</t>
        </is>
      </c>
      <c r="H75" s="13" t="inlineStr">
        <is>
          <t>audio/pairwise/Deva_Deva_Jagadeesha_seg0006-finetuned_20s.wav</t>
        </is>
      </c>
      <c r="I75" s="13" t="inlineStr">
        <is>
          <t>baseline</t>
        </is>
      </c>
      <c r="J75" s="13" t="inlineStr">
        <is>
          <t>finetuned</t>
        </is>
      </c>
      <c r="K75" s="13" t="inlineStr">
        <is>
          <t>B</t>
        </is>
      </c>
      <c r="L75" s="13" t="inlineStr">
        <is>
          <t>B</t>
        </is>
      </c>
      <c r="M75" s="13" t="inlineStr">
        <is>
          <t>B</t>
        </is>
      </c>
      <c r="N75" s="13">
        <f>IF(K75="A", I75, J75)</f>
        <v/>
      </c>
      <c r="O75" s="13">
        <f>IF(L75="A", I75, J75)</f>
        <v/>
      </c>
      <c r="P75" s="13">
        <f>IF(M75="A", I75, J75)</f>
        <v/>
      </c>
      <c r="Q75" s="13" t="n"/>
      <c r="R75" s="13" t="inlineStr">
        <is>
          <t>Instrumental - Violin</t>
        </is>
      </c>
      <c r="S75" s="13" t="inlineStr">
        <is>
          <t>test</t>
        </is>
      </c>
      <c r="T75" s="13" t="n"/>
    </row>
    <row r="76" ht="15" customHeight="1">
      <c r="A76" s="13" t="inlineStr">
        <is>
          <t>PA733F90</t>
        </is>
      </c>
      <c r="B76" s="13">
        <f>VLOOKUP(A76,Table1[[#All],[Participant ID]:[Persona]],7,0)</f>
        <v/>
      </c>
      <c r="C76" s="15" t="inlineStr">
        <is>
          <t>2026-04-06T10:21:19</t>
        </is>
      </c>
      <c r="D76" s="13" t="inlineStr">
        <is>
          <t>P05</t>
        </is>
      </c>
      <c r="E76" s="13" t="inlineStr">
        <is>
          <t>Nannupalimpa_seg0235</t>
        </is>
      </c>
      <c r="F76" s="13" t="n">
        <v>3</v>
      </c>
      <c r="G76" s="13" t="inlineStr">
        <is>
          <t>audio/pairwise/Nannupalimpa_seg0235-baseline_20s.wav</t>
        </is>
      </c>
      <c r="H76" s="13" t="inlineStr">
        <is>
          <t>audio/pairwise/Nannupalimpa_seg0235-finetuned_20s.wav</t>
        </is>
      </c>
      <c r="I76" s="13" t="inlineStr">
        <is>
          <t>baseline</t>
        </is>
      </c>
      <c r="J76" s="13" t="inlineStr">
        <is>
          <t>finetuned</t>
        </is>
      </c>
      <c r="K76" s="13" t="inlineStr">
        <is>
          <t>B</t>
        </is>
      </c>
      <c r="L76" s="13" t="inlineStr">
        <is>
          <t>B</t>
        </is>
      </c>
      <c r="M76" s="13" t="inlineStr">
        <is>
          <t>B</t>
        </is>
      </c>
      <c r="N76" s="13">
        <f>IF(K76="A", I76, J76)</f>
        <v/>
      </c>
      <c r="O76" s="13">
        <f>IF(L76="A", I76, J76)</f>
        <v/>
      </c>
      <c r="P76" s="13">
        <f>IF(M76="A", I76, J76)</f>
        <v/>
      </c>
      <c r="Q76" s="13" t="n"/>
      <c r="R76" s="13" t="inlineStr">
        <is>
          <t>Percussion - Mirudhangam</t>
        </is>
      </c>
      <c r="S76" s="13" t="inlineStr">
        <is>
          <t>test</t>
        </is>
      </c>
      <c r="T76" s="13" t="n"/>
    </row>
    <row r="77" ht="15" customHeight="1">
      <c r="A77" s="13" t="inlineStr">
        <is>
          <t>PA733F90</t>
        </is>
      </c>
      <c r="B77" s="13">
        <f>VLOOKUP(A77,Table1[[#All],[Participant ID]:[Persona]],7,0)</f>
        <v/>
      </c>
      <c r="C77" s="15" t="inlineStr">
        <is>
          <t>2026-04-06T10:21:19</t>
        </is>
      </c>
      <c r="D77" s="13" t="inlineStr">
        <is>
          <t>P06</t>
        </is>
      </c>
      <c r="E77" s="13" t="inlineStr">
        <is>
          <t>Seshachala_Nayakam_seg0142</t>
        </is>
      </c>
      <c r="F77" s="13" t="n">
        <v>4</v>
      </c>
      <c r="G77" s="13" t="inlineStr">
        <is>
          <t>audio/pairwise/Seshachala_Nayakam_seg0142-baseline_20s.wav</t>
        </is>
      </c>
      <c r="H77" s="13" t="inlineStr">
        <is>
          <t>audio/pairwise/Seshachala_Nayakam_seg0142-finetuned_20s.wav</t>
        </is>
      </c>
      <c r="I77" s="13" t="inlineStr">
        <is>
          <t>baseline</t>
        </is>
      </c>
      <c r="J77" s="13" t="inlineStr">
        <is>
          <t>finetuned</t>
        </is>
      </c>
      <c r="K77" s="13" t="inlineStr">
        <is>
          <t>B</t>
        </is>
      </c>
      <c r="L77" s="13" t="inlineStr">
        <is>
          <t>B</t>
        </is>
      </c>
      <c r="M77" s="13" t="inlineStr">
        <is>
          <t>B</t>
        </is>
      </c>
      <c r="N77" s="13">
        <f>IF(K77="A", I77, J77)</f>
        <v/>
      </c>
      <c r="O77" s="13">
        <f>IF(L77="A", I77, J77)</f>
        <v/>
      </c>
      <c r="P77" s="13">
        <f>IF(M77="A", I77, J77)</f>
        <v/>
      </c>
      <c r="Q77" s="13" t="n"/>
      <c r="R77" s="13" t="inlineStr">
        <is>
          <t>Instrumental - Violin</t>
        </is>
      </c>
      <c r="S77" s="13" t="inlineStr">
        <is>
          <t>test</t>
        </is>
      </c>
      <c r="T77" s="13" t="n"/>
    </row>
    <row r="78" ht="15" customHeight="1">
      <c r="A78" s="13" t="inlineStr">
        <is>
          <t>PA733F90</t>
        </is>
      </c>
      <c r="B78" s="13">
        <f>VLOOKUP(A78,Table1[[#All],[Participant ID]:[Persona]],7,0)</f>
        <v/>
      </c>
      <c r="C78" s="15" t="inlineStr">
        <is>
          <t>2026-04-06T10:21:19</t>
        </is>
      </c>
      <c r="D78" s="13" t="inlineStr">
        <is>
          <t>P01</t>
        </is>
      </c>
      <c r="E78" s="13" t="inlineStr">
        <is>
          <t>Karpagambike_seg0044</t>
        </is>
      </c>
      <c r="F78" s="13" t="n">
        <v>5</v>
      </c>
      <c r="G78" s="13" t="inlineStr">
        <is>
          <t>audio/pairwise/Karpagambike_seg0044-finetuned_20s.wav</t>
        </is>
      </c>
      <c r="H78" s="13" t="inlineStr">
        <is>
          <t>audio/pairwise/Karpagambike_seg0044-baseline_20s.wav</t>
        </is>
      </c>
      <c r="I78" s="13" t="inlineStr">
        <is>
          <t>finetuned</t>
        </is>
      </c>
      <c r="J78" s="13" t="inlineStr">
        <is>
          <t>baseline</t>
        </is>
      </c>
      <c r="K78" s="13" t="inlineStr">
        <is>
          <t>B</t>
        </is>
      </c>
      <c r="L78" s="13" t="inlineStr">
        <is>
          <t>B</t>
        </is>
      </c>
      <c r="M78" s="13" t="inlineStr">
        <is>
          <t>B</t>
        </is>
      </c>
      <c r="N78" s="13">
        <f>IF(K78="A", I78, J78)</f>
        <v/>
      </c>
      <c r="O78" s="13">
        <f>IF(L78="A", I78, J78)</f>
        <v/>
      </c>
      <c r="P78" s="13">
        <f>IF(M78="A", I78, J78)</f>
        <v/>
      </c>
      <c r="Q78" s="13" t="n"/>
      <c r="R78" s="13" t="inlineStr">
        <is>
          <t>Vocal</t>
        </is>
      </c>
      <c r="S78" s="13" t="inlineStr">
        <is>
          <t>test</t>
        </is>
      </c>
      <c r="T78" s="13" t="n"/>
    </row>
    <row r="79" ht="15" customHeight="1">
      <c r="A79" s="13" t="inlineStr">
        <is>
          <t>PA733F90</t>
        </is>
      </c>
      <c r="B79" s="13">
        <f>VLOOKUP(A79,Table1[[#All],[Participant ID]:[Persona]],7,0)</f>
        <v/>
      </c>
      <c r="C79" s="15" t="inlineStr">
        <is>
          <t>2026-04-06T10:21:19</t>
        </is>
      </c>
      <c r="D79" s="13" t="inlineStr">
        <is>
          <t>P03</t>
        </is>
      </c>
      <c r="E79" s="13" t="inlineStr">
        <is>
          <t>Ramanatham_Bhajeham_seg0029</t>
        </is>
      </c>
      <c r="F79" s="13" t="n">
        <v>6</v>
      </c>
      <c r="G79" s="13" t="inlineStr">
        <is>
          <t>audio/pairwise/Ramanatham_Bhajeham_seg0029-finetuned_20s.wav</t>
        </is>
      </c>
      <c r="H79" s="13" t="inlineStr">
        <is>
          <t>audio/pairwise/Ramanatham_Bhajeham_seg0029-baseline_20s.wav</t>
        </is>
      </c>
      <c r="I79" s="13" t="inlineStr">
        <is>
          <t>finetuned</t>
        </is>
      </c>
      <c r="J79" s="13" t="inlineStr">
        <is>
          <t>baseline</t>
        </is>
      </c>
      <c r="K79" s="13" t="inlineStr">
        <is>
          <t>B</t>
        </is>
      </c>
      <c r="L79" s="13" t="inlineStr">
        <is>
          <t>B</t>
        </is>
      </c>
      <c r="M79" s="13" t="inlineStr">
        <is>
          <t>B</t>
        </is>
      </c>
      <c r="N79" s="13">
        <f>IF(K79="A", I79, J79)</f>
        <v/>
      </c>
      <c r="O79" s="13">
        <f>IF(L79="A", I79, J79)</f>
        <v/>
      </c>
      <c r="P79" s="13">
        <f>IF(M79="A", I79, J79)</f>
        <v/>
      </c>
      <c r="Q79" s="13" t="n"/>
      <c r="R79" s="13" t="inlineStr">
        <is>
          <t>Vocal</t>
        </is>
      </c>
      <c r="S79" s="13" t="inlineStr">
        <is>
          <t>test</t>
        </is>
      </c>
      <c r="T79" s="13" t="n"/>
    </row>
    <row r="80" ht="15" customHeight="1">
      <c r="A80" s="13" t="inlineStr">
        <is>
          <t>PAABD6E8</t>
        </is>
      </c>
      <c r="B80" s="13">
        <f>VLOOKUP(A80,Table1[[#All],[Participant ID]:[Persona]],7,0)</f>
        <v/>
      </c>
      <c r="C80" s="15" t="inlineStr">
        <is>
          <t>2026-04-06T11:01:17</t>
        </is>
      </c>
      <c r="D80" s="13" t="inlineStr">
        <is>
          <t>P06</t>
        </is>
      </c>
      <c r="E80" s="13" t="inlineStr">
        <is>
          <t>Seshachala_Nayakam_seg0142</t>
        </is>
      </c>
      <c r="F80" s="13" t="n">
        <v>1</v>
      </c>
      <c r="G80" s="13" t="inlineStr">
        <is>
          <t>audio/pairwise/Seshachala_Nayakam_seg0142-finetuned_20s.wav</t>
        </is>
      </c>
      <c r="H80" s="13" t="inlineStr">
        <is>
          <t>audio/pairwise/Seshachala_Nayakam_seg0142-baseline_20s.wav</t>
        </is>
      </c>
      <c r="I80" s="13" t="inlineStr">
        <is>
          <t>finetuned</t>
        </is>
      </c>
      <c r="J80" s="13" t="inlineStr">
        <is>
          <t>baseline</t>
        </is>
      </c>
      <c r="K80" s="13" t="inlineStr">
        <is>
          <t>B</t>
        </is>
      </c>
      <c r="L80" s="13" t="inlineStr">
        <is>
          <t>B</t>
        </is>
      </c>
      <c r="M80" s="13" t="inlineStr">
        <is>
          <t>B</t>
        </is>
      </c>
      <c r="N80" s="13">
        <f>IF(K80="A", I80, J80)</f>
        <v/>
      </c>
      <c r="O80" s="13">
        <f>IF(L80="A", I80, J80)</f>
        <v/>
      </c>
      <c r="P80" s="13">
        <f>IF(M80="A", I80, J80)</f>
        <v/>
      </c>
      <c r="Q80" s="13" t="n"/>
      <c r="R80" s="13" t="inlineStr">
        <is>
          <t>Instrumental - Violin</t>
        </is>
      </c>
      <c r="S80" s="13" t="inlineStr">
        <is>
          <t>test</t>
        </is>
      </c>
      <c r="T80" s="13" t="n"/>
    </row>
    <row r="81" ht="15" customHeight="1">
      <c r="A81" s="13" t="inlineStr">
        <is>
          <t>PAABD6E8</t>
        </is>
      </c>
      <c r="B81" s="13">
        <f>VLOOKUP(A81,Table1[[#All],[Participant ID]:[Persona]],7,0)</f>
        <v/>
      </c>
      <c r="C81" s="15" t="inlineStr">
        <is>
          <t>2026-04-06T11:01:17</t>
        </is>
      </c>
      <c r="D81" s="13" t="inlineStr">
        <is>
          <t>P03</t>
        </is>
      </c>
      <c r="E81" s="13" t="inlineStr">
        <is>
          <t>Ramanatham_Bhajeham_seg0029</t>
        </is>
      </c>
      <c r="F81" s="13" t="n">
        <v>2</v>
      </c>
      <c r="G81" s="13" t="inlineStr">
        <is>
          <t>audio/pairwise/Ramanatham_Bhajeham_seg0029-baseline_20s.wav</t>
        </is>
      </c>
      <c r="H81" s="13" t="inlineStr">
        <is>
          <t>audio/pairwise/Ramanatham_Bhajeham_seg0029-finetuned_20s.wav</t>
        </is>
      </c>
      <c r="I81" s="13" t="inlineStr">
        <is>
          <t>baseline</t>
        </is>
      </c>
      <c r="J81" s="13" t="inlineStr">
        <is>
          <t>finetuned</t>
        </is>
      </c>
      <c r="K81" s="13" t="inlineStr">
        <is>
          <t>B</t>
        </is>
      </c>
      <c r="L81" s="13" t="inlineStr">
        <is>
          <t>B</t>
        </is>
      </c>
      <c r="M81" s="13" t="inlineStr">
        <is>
          <t>B</t>
        </is>
      </c>
      <c r="N81" s="13">
        <f>IF(K81="A", I81, J81)</f>
        <v/>
      </c>
      <c r="O81" s="13">
        <f>IF(L81="A", I81, J81)</f>
        <v/>
      </c>
      <c r="P81" s="13">
        <f>IF(M81="A", I81, J81)</f>
        <v/>
      </c>
      <c r="Q81" s="13" t="n"/>
      <c r="R81" s="13" t="inlineStr">
        <is>
          <t>Vocal</t>
        </is>
      </c>
      <c r="S81" s="13" t="inlineStr">
        <is>
          <t>test</t>
        </is>
      </c>
      <c r="T81" s="13" t="n"/>
    </row>
    <row r="82" ht="15" customHeight="1">
      <c r="A82" s="13" t="inlineStr">
        <is>
          <t>PAABD6E8</t>
        </is>
      </c>
      <c r="B82" s="13">
        <f>VLOOKUP(A82,Table1[[#All],[Participant ID]:[Persona]],7,0)</f>
        <v/>
      </c>
      <c r="C82" s="15" t="inlineStr">
        <is>
          <t>2026-04-06T11:01:17</t>
        </is>
      </c>
      <c r="D82" s="13" t="inlineStr">
        <is>
          <t>P04</t>
        </is>
      </c>
      <c r="E82" s="13" t="inlineStr">
        <is>
          <t>Deva_Deva_Jagadeesha_seg0006</t>
        </is>
      </c>
      <c r="F82" s="13" t="n">
        <v>3</v>
      </c>
      <c r="G82" s="13" t="inlineStr">
        <is>
          <t>audio/pairwise/Deva_Deva_Jagadeesha_seg0006-finetuned_20s.wav</t>
        </is>
      </c>
      <c r="H82" s="13" t="inlineStr">
        <is>
          <t>audio/pairwise/Deva_Deva_Jagadeesha_seg0006-baseline_20s.wav</t>
        </is>
      </c>
      <c r="I82" s="13" t="inlineStr">
        <is>
          <t>finetuned</t>
        </is>
      </c>
      <c r="J82" s="13" t="inlineStr">
        <is>
          <t>baseline</t>
        </is>
      </c>
      <c r="K82" s="13" t="inlineStr">
        <is>
          <t>B</t>
        </is>
      </c>
      <c r="L82" s="13" t="inlineStr">
        <is>
          <t>B</t>
        </is>
      </c>
      <c r="M82" s="13" t="inlineStr">
        <is>
          <t>B</t>
        </is>
      </c>
      <c r="N82" s="13">
        <f>IF(K82="A", I82, J82)</f>
        <v/>
      </c>
      <c r="O82" s="13">
        <f>IF(L82="A", I82, J82)</f>
        <v/>
      </c>
      <c r="P82" s="13">
        <f>IF(M82="A", I82, J82)</f>
        <v/>
      </c>
      <c r="Q82" s="13" t="n"/>
      <c r="R82" s="13" t="inlineStr">
        <is>
          <t>Instrumental - Violin</t>
        </is>
      </c>
      <c r="S82" s="13" t="inlineStr">
        <is>
          <t>test</t>
        </is>
      </c>
      <c r="T82" s="13" t="n"/>
    </row>
    <row r="83" ht="15" customHeight="1">
      <c r="A83" s="13" t="inlineStr">
        <is>
          <t>PAABD6E8</t>
        </is>
      </c>
      <c r="B83" s="13">
        <f>VLOOKUP(A83,Table1[[#All],[Participant ID]:[Persona]],7,0)</f>
        <v/>
      </c>
      <c r="C83" s="15" t="inlineStr">
        <is>
          <t>2026-04-06T11:01:17</t>
        </is>
      </c>
      <c r="D83" s="13" t="inlineStr">
        <is>
          <t>P05</t>
        </is>
      </c>
      <c r="E83" s="13" t="inlineStr">
        <is>
          <t>Nannupalimpa_seg0235</t>
        </is>
      </c>
      <c r="F83" s="13" t="n">
        <v>4</v>
      </c>
      <c r="G83" s="13" t="inlineStr">
        <is>
          <t>audio/pairwise/Nannupalimpa_seg0235-baseline_20s.wav</t>
        </is>
      </c>
      <c r="H83" s="13" t="inlineStr">
        <is>
          <t>audio/pairwise/Nannupalimpa_seg0235-finetuned_20s.wav</t>
        </is>
      </c>
      <c r="I83" s="13" t="inlineStr">
        <is>
          <t>baseline</t>
        </is>
      </c>
      <c r="J83" s="13" t="inlineStr">
        <is>
          <t>finetuned</t>
        </is>
      </c>
      <c r="K83" s="13" t="inlineStr">
        <is>
          <t>B</t>
        </is>
      </c>
      <c r="L83" s="13" t="inlineStr">
        <is>
          <t>B</t>
        </is>
      </c>
      <c r="M83" s="13" t="inlineStr">
        <is>
          <t>B</t>
        </is>
      </c>
      <c r="N83" s="13">
        <f>IF(K83="A", I83, J83)</f>
        <v/>
      </c>
      <c r="O83" s="13">
        <f>IF(L83="A", I83, J83)</f>
        <v/>
      </c>
      <c r="P83" s="13">
        <f>IF(M83="A", I83, J83)</f>
        <v/>
      </c>
      <c r="Q83" s="13" t="n"/>
      <c r="R83" s="13" t="inlineStr">
        <is>
          <t>Percussion - Mirudhangam</t>
        </is>
      </c>
      <c r="S83" s="13" t="inlineStr">
        <is>
          <t>test</t>
        </is>
      </c>
      <c r="T83" s="13" t="n"/>
    </row>
    <row r="84" ht="15" customHeight="1">
      <c r="A84" s="13" t="inlineStr">
        <is>
          <t>PAABD6E8</t>
        </is>
      </c>
      <c r="B84" s="13">
        <f>VLOOKUP(A84,Table1[[#All],[Participant ID]:[Persona]],7,0)</f>
        <v/>
      </c>
      <c r="C84" s="15" t="inlineStr">
        <is>
          <t>2026-04-06T11:01:17</t>
        </is>
      </c>
      <c r="D84" s="13" t="inlineStr">
        <is>
          <t>P01</t>
        </is>
      </c>
      <c r="E84" s="13" t="inlineStr">
        <is>
          <t>Karpagambike_seg0044</t>
        </is>
      </c>
      <c r="F84" s="13" t="n">
        <v>5</v>
      </c>
      <c r="G84" s="13" t="inlineStr">
        <is>
          <t>audio/pairwise/Karpagambike_seg0044-finetuned_20s.wav</t>
        </is>
      </c>
      <c r="H84" s="13" t="inlineStr">
        <is>
          <t>audio/pairwise/Karpagambike_seg0044-baseline_20s.wav</t>
        </is>
      </c>
      <c r="I84" s="13" t="inlineStr">
        <is>
          <t>finetuned</t>
        </is>
      </c>
      <c r="J84" s="13" t="inlineStr">
        <is>
          <t>baseline</t>
        </is>
      </c>
      <c r="K84" s="13" t="inlineStr">
        <is>
          <t>A</t>
        </is>
      </c>
      <c r="L84" s="13" t="inlineStr">
        <is>
          <t>A</t>
        </is>
      </c>
      <c r="M84" s="13" t="inlineStr">
        <is>
          <t>A</t>
        </is>
      </c>
      <c r="N84" s="13">
        <f>IF(K84="A", I84, J84)</f>
        <v/>
      </c>
      <c r="O84" s="13">
        <f>IF(L84="A", I84, J84)</f>
        <v/>
      </c>
      <c r="P84" s="13">
        <f>IF(M84="A", I84, J84)</f>
        <v/>
      </c>
      <c r="Q84" s="13" t="n"/>
      <c r="R84" s="13" t="inlineStr">
        <is>
          <t>Vocal</t>
        </is>
      </c>
      <c r="S84" s="13" t="inlineStr">
        <is>
          <t>test</t>
        </is>
      </c>
      <c r="T84" s="13" t="n"/>
    </row>
    <row r="85" ht="15" customHeight="1">
      <c r="A85" s="13" t="inlineStr">
        <is>
          <t>PAABD6E8</t>
        </is>
      </c>
      <c r="B85" s="13">
        <f>VLOOKUP(A85,Table1[[#All],[Participant ID]:[Persona]],7,0)</f>
        <v/>
      </c>
      <c r="C85" s="15" t="inlineStr">
        <is>
          <t>2026-04-06T11:01:17</t>
        </is>
      </c>
      <c r="D85" s="13" t="inlineStr">
        <is>
          <t>P02</t>
        </is>
      </c>
      <c r="E85" s="13" t="inlineStr">
        <is>
          <t>Raksha_Bettare_seg0201</t>
        </is>
      </c>
      <c r="F85" s="13" t="n">
        <v>6</v>
      </c>
      <c r="G85" s="13" t="inlineStr">
        <is>
          <t>audio/pairwise/Raksha_Bettare_seg0201-baseline_20s.wav</t>
        </is>
      </c>
      <c r="H85" s="13" t="inlineStr">
        <is>
          <t>audio/pairwise/Raksha_Bettare_seg0201-finetuned_20s.wav</t>
        </is>
      </c>
      <c r="I85" s="13" t="inlineStr">
        <is>
          <t>baseline</t>
        </is>
      </c>
      <c r="J85" s="13" t="inlineStr">
        <is>
          <t>finetuned</t>
        </is>
      </c>
      <c r="K85" s="13" t="inlineStr">
        <is>
          <t>A</t>
        </is>
      </c>
      <c r="L85" s="13" t="inlineStr">
        <is>
          <t>A</t>
        </is>
      </c>
      <c r="M85" s="13" t="inlineStr">
        <is>
          <t>A</t>
        </is>
      </c>
      <c r="N85" s="13">
        <f>IF(K85="A", I85, J85)</f>
        <v/>
      </c>
      <c r="O85" s="13">
        <f>IF(L85="A", I85, J85)</f>
        <v/>
      </c>
      <c r="P85" s="13">
        <f>IF(M85="A", I85, J85)</f>
        <v/>
      </c>
      <c r="Q85" s="13" t="n"/>
      <c r="R85" s="13" t="inlineStr">
        <is>
          <t>Vocal</t>
        </is>
      </c>
      <c r="S85" s="13" t="inlineStr">
        <is>
          <t>test</t>
        </is>
      </c>
      <c r="T85" s="13" t="n"/>
    </row>
    <row r="86" ht="15" customHeight="1">
      <c r="A86" s="13" t="inlineStr">
        <is>
          <t>PACED268</t>
        </is>
      </c>
      <c r="B86" s="13">
        <f>VLOOKUP(A86,Table1[[#All],[Participant ID]:[Persona]],7,0)</f>
        <v/>
      </c>
      <c r="C86" s="15" t="inlineStr">
        <is>
          <t>2026-04-06T12:02:58</t>
        </is>
      </c>
      <c r="D86" s="13" t="inlineStr">
        <is>
          <t>P04</t>
        </is>
      </c>
      <c r="E86" s="13" t="inlineStr">
        <is>
          <t>Deva_Deva_Jagadeesha_seg0006</t>
        </is>
      </c>
      <c r="F86" s="13" t="n">
        <v>1</v>
      </c>
      <c r="G86" s="13" t="inlineStr">
        <is>
          <t>audio/pairwise/Deva_Deva_Jagadeesha_seg0006-baseline_20s.wav</t>
        </is>
      </c>
      <c r="H86" s="13" t="inlineStr">
        <is>
          <t>audio/pairwise/Deva_Deva_Jagadeesha_seg0006-finetuned_20s.wav</t>
        </is>
      </c>
      <c r="I86" s="13" t="inlineStr">
        <is>
          <t>baseline</t>
        </is>
      </c>
      <c r="J86" s="13" t="inlineStr">
        <is>
          <t>finetuned</t>
        </is>
      </c>
      <c r="K86" s="13" t="inlineStr">
        <is>
          <t>A</t>
        </is>
      </c>
      <c r="L86" s="13" t="inlineStr">
        <is>
          <t>A</t>
        </is>
      </c>
      <c r="M86" s="13" t="inlineStr">
        <is>
          <t>B</t>
        </is>
      </c>
      <c r="N86" s="13">
        <f>IF(K86="A", I86, J86)</f>
        <v/>
      </c>
      <c r="O86" s="13">
        <f>IF(L86="A", I86, J86)</f>
        <v/>
      </c>
      <c r="P86" s="13">
        <f>IF(M86="A", I86, J86)</f>
        <v/>
      </c>
      <c r="Q86" s="13" t="n"/>
      <c r="R86" s="13" t="inlineStr">
        <is>
          <t>Instrumental - Violin</t>
        </is>
      </c>
      <c r="S86" s="13" t="inlineStr">
        <is>
          <t>test</t>
        </is>
      </c>
      <c r="T86" s="13" t="n"/>
    </row>
    <row r="87" ht="15" customHeight="1">
      <c r="A87" s="13" t="inlineStr">
        <is>
          <t>PACED268</t>
        </is>
      </c>
      <c r="B87" s="13">
        <f>VLOOKUP(A87,Table1[[#All],[Participant ID]:[Persona]],7,0)</f>
        <v/>
      </c>
      <c r="C87" s="15" t="inlineStr">
        <is>
          <t>2026-04-06T12:02:58</t>
        </is>
      </c>
      <c r="D87" s="13" t="inlineStr">
        <is>
          <t>P05</t>
        </is>
      </c>
      <c r="E87" s="13" t="inlineStr">
        <is>
          <t>Nannupalimpa_seg0235</t>
        </is>
      </c>
      <c r="F87" s="13" t="n">
        <v>2</v>
      </c>
      <c r="G87" s="13" t="inlineStr">
        <is>
          <t>audio/pairwise/Nannupalimpa_seg0235-baseline_20s.wav</t>
        </is>
      </c>
      <c r="H87" s="13" t="inlineStr">
        <is>
          <t>audio/pairwise/Nannupalimpa_seg0235-finetuned_20s.wav</t>
        </is>
      </c>
      <c r="I87" s="13" t="inlineStr">
        <is>
          <t>baseline</t>
        </is>
      </c>
      <c r="J87" s="13" t="inlineStr">
        <is>
          <t>finetuned</t>
        </is>
      </c>
      <c r="K87" s="13" t="inlineStr">
        <is>
          <t>A</t>
        </is>
      </c>
      <c r="L87" s="13" t="inlineStr">
        <is>
          <t>A</t>
        </is>
      </c>
      <c r="M87" s="13" t="inlineStr">
        <is>
          <t>A</t>
        </is>
      </c>
      <c r="N87" s="13">
        <f>IF(K87="A", I87, J87)</f>
        <v/>
      </c>
      <c r="O87" s="13">
        <f>IF(L87="A", I87, J87)</f>
        <v/>
      </c>
      <c r="P87" s="13">
        <f>IF(M87="A", I87, J87)</f>
        <v/>
      </c>
      <c r="Q87" s="13" t="n"/>
      <c r="R87" s="13" t="inlineStr">
        <is>
          <t>Percussion - Mirudhangam</t>
        </is>
      </c>
      <c r="S87" s="13" t="inlineStr">
        <is>
          <t>test</t>
        </is>
      </c>
      <c r="T87" s="13" t="n"/>
    </row>
    <row r="88" ht="15" customHeight="1">
      <c r="A88" s="13" t="inlineStr">
        <is>
          <t>PACED268</t>
        </is>
      </c>
      <c r="B88" s="13">
        <f>VLOOKUP(A88,Table1[[#All],[Participant ID]:[Persona]],7,0)</f>
        <v/>
      </c>
      <c r="C88" s="15" t="inlineStr">
        <is>
          <t>2026-04-06T12:02:58</t>
        </is>
      </c>
      <c r="D88" s="13" t="inlineStr">
        <is>
          <t>P06</t>
        </is>
      </c>
      <c r="E88" s="13" t="inlineStr">
        <is>
          <t>Seshachala_Nayakam_seg0142</t>
        </is>
      </c>
      <c r="F88" s="13" t="n">
        <v>3</v>
      </c>
      <c r="G88" s="13" t="inlineStr">
        <is>
          <t>audio/pairwise/Seshachala_Nayakam_seg0142-finetuned_20s.wav</t>
        </is>
      </c>
      <c r="H88" s="13" t="inlineStr">
        <is>
          <t>audio/pairwise/Seshachala_Nayakam_seg0142-baseline_20s.wav</t>
        </is>
      </c>
      <c r="I88" s="13" t="inlineStr">
        <is>
          <t>finetuned</t>
        </is>
      </c>
      <c r="J88" s="13" t="inlineStr">
        <is>
          <t>baseline</t>
        </is>
      </c>
      <c r="K88" s="13" t="inlineStr">
        <is>
          <t>A</t>
        </is>
      </c>
      <c r="L88" s="13" t="inlineStr">
        <is>
          <t>A</t>
        </is>
      </c>
      <c r="M88" s="13" t="inlineStr">
        <is>
          <t>A</t>
        </is>
      </c>
      <c r="N88" s="13">
        <f>IF(K88="A", I88, J88)</f>
        <v/>
      </c>
      <c r="O88" s="13">
        <f>IF(L88="A", I88, J88)</f>
        <v/>
      </c>
      <c r="P88" s="13">
        <f>IF(M88="A", I88, J88)</f>
        <v/>
      </c>
      <c r="Q88" s="13" t="n"/>
      <c r="R88" s="13" t="inlineStr">
        <is>
          <t>Instrumental - Violin</t>
        </is>
      </c>
      <c r="S88" s="13" t="inlineStr">
        <is>
          <t>test</t>
        </is>
      </c>
      <c r="T88" s="13" t="n"/>
    </row>
    <row r="89" ht="15" customHeight="1">
      <c r="A89" s="13" t="inlineStr">
        <is>
          <t>PACED268</t>
        </is>
      </c>
      <c r="B89" s="13">
        <f>VLOOKUP(A89,Table1[[#All],[Participant ID]:[Persona]],7,0)</f>
        <v/>
      </c>
      <c r="C89" s="15" t="inlineStr">
        <is>
          <t>2026-04-06T12:02:58</t>
        </is>
      </c>
      <c r="D89" s="13" t="inlineStr">
        <is>
          <t>P01</t>
        </is>
      </c>
      <c r="E89" s="13" t="inlineStr">
        <is>
          <t>Karpagambike_seg0044</t>
        </is>
      </c>
      <c r="F89" s="13" t="n">
        <v>4</v>
      </c>
      <c r="G89" s="13" t="inlineStr">
        <is>
          <t>audio/pairwise/Karpagambike_seg0044-finetuned_20s.wav</t>
        </is>
      </c>
      <c r="H89" s="13" t="inlineStr">
        <is>
          <t>audio/pairwise/Karpagambike_seg0044-baseline_20s.wav</t>
        </is>
      </c>
      <c r="I89" s="13" t="inlineStr">
        <is>
          <t>finetuned</t>
        </is>
      </c>
      <c r="J89" s="13" t="inlineStr">
        <is>
          <t>baseline</t>
        </is>
      </c>
      <c r="K89" s="13" t="inlineStr">
        <is>
          <t>B</t>
        </is>
      </c>
      <c r="L89" s="13" t="inlineStr">
        <is>
          <t>B</t>
        </is>
      </c>
      <c r="M89" s="13" t="inlineStr">
        <is>
          <t>A</t>
        </is>
      </c>
      <c r="N89" s="13">
        <f>IF(K89="A", I89, J89)</f>
        <v/>
      </c>
      <c r="O89" s="13">
        <f>IF(L89="A", I89, J89)</f>
        <v/>
      </c>
      <c r="P89" s="13">
        <f>IF(M89="A", I89, J89)</f>
        <v/>
      </c>
      <c r="Q89" s="13" t="n"/>
      <c r="R89" s="13" t="inlineStr">
        <is>
          <t>Vocal</t>
        </is>
      </c>
      <c r="S89" s="13" t="inlineStr">
        <is>
          <t>test</t>
        </is>
      </c>
      <c r="T89" s="13" t="n"/>
    </row>
    <row r="90" ht="15" customHeight="1">
      <c r="A90" s="13" t="inlineStr">
        <is>
          <t>PACED268</t>
        </is>
      </c>
      <c r="B90" s="13">
        <f>VLOOKUP(A90,Table1[[#All],[Participant ID]:[Persona]],7,0)</f>
        <v/>
      </c>
      <c r="C90" s="15" t="inlineStr">
        <is>
          <t>2026-04-06T12:02:58</t>
        </is>
      </c>
      <c r="D90" s="13" t="inlineStr">
        <is>
          <t>P02</t>
        </is>
      </c>
      <c r="E90" s="13" t="inlineStr">
        <is>
          <t>Raksha_Bettare_seg0201</t>
        </is>
      </c>
      <c r="F90" s="13" t="n">
        <v>5</v>
      </c>
      <c r="G90" s="13" t="inlineStr">
        <is>
          <t>audio/pairwise/Raksha_Bettare_seg0201-baseline_20s.wav</t>
        </is>
      </c>
      <c r="H90" s="13" t="inlineStr">
        <is>
          <t>audio/pairwise/Raksha_Bettare_seg0201-finetuned_20s.wav</t>
        </is>
      </c>
      <c r="I90" s="13" t="inlineStr">
        <is>
          <t>baseline</t>
        </is>
      </c>
      <c r="J90" s="13" t="inlineStr">
        <is>
          <t>finetuned</t>
        </is>
      </c>
      <c r="K90" s="13" t="inlineStr">
        <is>
          <t>B</t>
        </is>
      </c>
      <c r="L90" s="13" t="inlineStr">
        <is>
          <t>B</t>
        </is>
      </c>
      <c r="M90" s="13" t="inlineStr">
        <is>
          <t>A</t>
        </is>
      </c>
      <c r="N90" s="13">
        <f>IF(K90="A", I90, J90)</f>
        <v/>
      </c>
      <c r="O90" s="13">
        <f>IF(L90="A", I90, J90)</f>
        <v/>
      </c>
      <c r="P90" s="13">
        <f>IF(M90="A", I90, J90)</f>
        <v/>
      </c>
      <c r="Q90" s="13" t="n"/>
      <c r="R90" s="13" t="inlineStr">
        <is>
          <t>Vocal</t>
        </is>
      </c>
      <c r="S90" s="13" t="inlineStr">
        <is>
          <t>test</t>
        </is>
      </c>
      <c r="T90" s="13" t="n"/>
    </row>
    <row r="91" ht="15" customHeight="1">
      <c r="A91" s="13" t="inlineStr">
        <is>
          <t>PACED268</t>
        </is>
      </c>
      <c r="B91" s="13">
        <f>VLOOKUP(A91,Table1[[#All],[Participant ID]:[Persona]],7,0)</f>
        <v/>
      </c>
      <c r="C91" s="15" t="inlineStr">
        <is>
          <t>2026-04-06T12:02:58</t>
        </is>
      </c>
      <c r="D91" s="13" t="inlineStr">
        <is>
          <t>P03</t>
        </is>
      </c>
      <c r="E91" s="13" t="inlineStr">
        <is>
          <t>Ramanatham_Bhajeham_seg0029</t>
        </is>
      </c>
      <c r="F91" s="13" t="n">
        <v>6</v>
      </c>
      <c r="G91" s="13" t="inlineStr">
        <is>
          <t>audio/pairwise/Ramanatham_Bhajeham_seg0029-baseline_20s.wav</t>
        </is>
      </c>
      <c r="H91" s="13" t="inlineStr">
        <is>
          <t>audio/pairwise/Ramanatham_Bhajeham_seg0029-finetuned_20s.wav</t>
        </is>
      </c>
      <c r="I91" s="13" t="inlineStr">
        <is>
          <t>baseline</t>
        </is>
      </c>
      <c r="J91" s="13" t="inlineStr">
        <is>
          <t>finetuned</t>
        </is>
      </c>
      <c r="K91" s="13" t="inlineStr">
        <is>
          <t>B</t>
        </is>
      </c>
      <c r="L91" s="13" t="inlineStr">
        <is>
          <t>B</t>
        </is>
      </c>
      <c r="M91" s="13" t="inlineStr">
        <is>
          <t>B</t>
        </is>
      </c>
      <c r="N91" s="13">
        <f>IF(K91="A", I91, J91)</f>
        <v/>
      </c>
      <c r="O91" s="13">
        <f>IF(L91="A", I91, J91)</f>
        <v/>
      </c>
      <c r="P91" s="13">
        <f>IF(M91="A", I91, J91)</f>
        <v/>
      </c>
      <c r="Q91" s="13" t="n"/>
      <c r="R91" s="13" t="inlineStr">
        <is>
          <t>Vocal</t>
        </is>
      </c>
      <c r="S91" s="13" t="inlineStr">
        <is>
          <t>test</t>
        </is>
      </c>
      <c r="T91" s="13" t="n"/>
    </row>
    <row r="92" ht="15" customHeight="1">
      <c r="A92" s="13" t="inlineStr">
        <is>
          <t>PAB9BE11</t>
        </is>
      </c>
      <c r="B92" s="13">
        <f>VLOOKUP(A92,Table1[[#All],[Participant ID]:[Persona]],7,0)</f>
        <v/>
      </c>
      <c r="C92" s="15" t="inlineStr">
        <is>
          <t>2026-04-06T13:40:02</t>
        </is>
      </c>
      <c r="D92" s="13" t="inlineStr">
        <is>
          <t>P05</t>
        </is>
      </c>
      <c r="E92" s="13" t="inlineStr">
        <is>
          <t>Nannupalimpa_seg0235</t>
        </is>
      </c>
      <c r="F92" s="13" t="n">
        <v>1</v>
      </c>
      <c r="G92" s="13" t="inlineStr">
        <is>
          <t>audio/pairwise/Nannupalimpa_seg0235-baseline_20s.wav</t>
        </is>
      </c>
      <c r="H92" s="13" t="inlineStr">
        <is>
          <t>audio/pairwise/Nannupalimpa_seg0235-finetuned_20s.wav</t>
        </is>
      </c>
      <c r="I92" s="13" t="inlineStr">
        <is>
          <t>baseline</t>
        </is>
      </c>
      <c r="J92" s="13" t="inlineStr">
        <is>
          <t>finetuned</t>
        </is>
      </c>
      <c r="K92" s="13" t="inlineStr">
        <is>
          <t>A</t>
        </is>
      </c>
      <c r="L92" s="13" t="inlineStr">
        <is>
          <t>B</t>
        </is>
      </c>
      <c r="M92" s="13" t="inlineStr">
        <is>
          <t>B</t>
        </is>
      </c>
      <c r="N92" s="13">
        <f>IF(K92="A", I92, J92)</f>
        <v/>
      </c>
      <c r="O92" s="13">
        <f>IF(L92="A", I92, J92)</f>
        <v/>
      </c>
      <c r="P92" s="13">
        <f>IF(M92="A", I92, J92)</f>
        <v/>
      </c>
      <c r="Q92" s="13" t="inlineStr">
        <is>
          <t>B looses its Carnatic essence at some point.</t>
        </is>
      </c>
      <c r="R92" s="13" t="inlineStr">
        <is>
          <t>Percussion - Mirudhangam</t>
        </is>
      </c>
      <c r="S92" s="13" t="inlineStr">
        <is>
          <t>test</t>
        </is>
      </c>
      <c r="T92" s="13" t="n"/>
    </row>
    <row r="93" ht="15" customHeight="1">
      <c r="A93" s="13" t="inlineStr">
        <is>
          <t>PAB9BE11</t>
        </is>
      </c>
      <c r="B93" s="13">
        <f>VLOOKUP(A93,Table1[[#All],[Participant ID]:[Persona]],7,0)</f>
        <v/>
      </c>
      <c r="C93" s="15" t="inlineStr">
        <is>
          <t>2026-04-06T13:40:02</t>
        </is>
      </c>
      <c r="D93" s="13" t="inlineStr">
        <is>
          <t>P02</t>
        </is>
      </c>
      <c r="E93" s="13" t="inlineStr">
        <is>
          <t>Raksha_Bettare_seg0201</t>
        </is>
      </c>
      <c r="F93" s="13" t="n">
        <v>2</v>
      </c>
      <c r="G93" s="13" t="inlineStr">
        <is>
          <t>audio/pairwise/Raksha_Bettare_seg0201-finetuned_20s.wav</t>
        </is>
      </c>
      <c r="H93" s="13" t="inlineStr">
        <is>
          <t>audio/pairwise/Raksha_Bettare_seg0201-baseline_20s.wav</t>
        </is>
      </c>
      <c r="I93" s="13" t="inlineStr">
        <is>
          <t>finetuned</t>
        </is>
      </c>
      <c r="J93" s="13" t="inlineStr">
        <is>
          <t>baseline</t>
        </is>
      </c>
      <c r="K93" s="13" t="inlineStr">
        <is>
          <t>A</t>
        </is>
      </c>
      <c r="L93" s="13" t="inlineStr">
        <is>
          <t>A</t>
        </is>
      </c>
      <c r="M93" s="13" t="inlineStr">
        <is>
          <t>B</t>
        </is>
      </c>
      <c r="N93" s="13">
        <f>IF(K93="A", I93, J93)</f>
        <v/>
      </c>
      <c r="O93" s="13">
        <f>IF(L93="A", I93, J93)</f>
        <v/>
      </c>
      <c r="P93" s="13">
        <f>IF(M93="A", I93, J93)</f>
        <v/>
      </c>
      <c r="Q93" s="13" t="inlineStr">
        <is>
          <t>Kamakams clarity in A</t>
        </is>
      </c>
      <c r="R93" s="13" t="inlineStr">
        <is>
          <t>Vocal</t>
        </is>
      </c>
      <c r="S93" s="13" t="inlineStr">
        <is>
          <t>test</t>
        </is>
      </c>
      <c r="T93" s="13" t="n"/>
    </row>
    <row r="94" ht="15" customHeight="1">
      <c r="A94" s="13" t="inlineStr">
        <is>
          <t>PAB9BE11</t>
        </is>
      </c>
      <c r="B94" s="13">
        <f>VLOOKUP(A94,Table1[[#All],[Participant ID]:[Persona]],7,0)</f>
        <v/>
      </c>
      <c r="C94" s="15" t="inlineStr">
        <is>
          <t>2026-04-06T13:40:02</t>
        </is>
      </c>
      <c r="D94" s="13" t="inlineStr">
        <is>
          <t>P03</t>
        </is>
      </c>
      <c r="E94" s="13" t="inlineStr">
        <is>
          <t>Ramanatham_Bhajeham_seg0029</t>
        </is>
      </c>
      <c r="F94" s="13" t="n">
        <v>3</v>
      </c>
      <c r="G94" s="13" t="inlineStr">
        <is>
          <t>audio/pairwise/Ramanatham_Bhajeham_seg0029-finetuned_20s.wav</t>
        </is>
      </c>
      <c r="H94" s="13" t="inlineStr">
        <is>
          <t>audio/pairwise/Ramanatham_Bhajeham_seg0029-baseline_20s.wav</t>
        </is>
      </c>
      <c r="I94" s="13" t="inlineStr">
        <is>
          <t>finetuned</t>
        </is>
      </c>
      <c r="J94" s="13" t="inlineStr">
        <is>
          <t>baseline</t>
        </is>
      </c>
      <c r="K94" s="13" t="inlineStr">
        <is>
          <t>B</t>
        </is>
      </c>
      <c r="L94" s="13" t="inlineStr">
        <is>
          <t>B</t>
        </is>
      </c>
      <c r="M94" s="13" t="inlineStr">
        <is>
          <t>B</t>
        </is>
      </c>
      <c r="N94" s="13">
        <f>IF(K94="A", I94, J94)</f>
        <v/>
      </c>
      <c r="O94" s="13">
        <f>IF(L94="A", I94, J94)</f>
        <v/>
      </c>
      <c r="P94" s="13">
        <f>IF(M94="A", I94, J94)</f>
        <v/>
      </c>
      <c r="Q94" s="13" t="inlineStr">
        <is>
          <t>A gets dragged after 15 seconds.</t>
        </is>
      </c>
      <c r="R94" s="13" t="inlineStr">
        <is>
          <t>Vocal</t>
        </is>
      </c>
      <c r="S94" s="13" t="inlineStr">
        <is>
          <t>test</t>
        </is>
      </c>
      <c r="T94" s="13" t="n"/>
    </row>
    <row r="95" ht="15" customHeight="1">
      <c r="A95" s="13" t="inlineStr">
        <is>
          <t>PAB9BE11</t>
        </is>
      </c>
      <c r="B95" s="13">
        <f>VLOOKUP(A95,Table1[[#All],[Participant ID]:[Persona]],7,0)</f>
        <v/>
      </c>
      <c r="C95" s="15" t="inlineStr">
        <is>
          <t>2026-04-06T13:40:02</t>
        </is>
      </c>
      <c r="D95" s="13" t="inlineStr">
        <is>
          <t>P06</t>
        </is>
      </c>
      <c r="E95" s="13" t="inlineStr">
        <is>
          <t>Seshachala_Nayakam_seg0142</t>
        </is>
      </c>
      <c r="F95" s="13" t="n">
        <v>4</v>
      </c>
      <c r="G95" s="13" t="inlineStr">
        <is>
          <t>audio/pairwise/Seshachala_Nayakam_seg0142-baseline_20s.wav</t>
        </is>
      </c>
      <c r="H95" s="13" t="inlineStr">
        <is>
          <t>audio/pairwise/Seshachala_Nayakam_seg0142-finetuned_20s.wav</t>
        </is>
      </c>
      <c r="I95" s="13" t="inlineStr">
        <is>
          <t>baseline</t>
        </is>
      </c>
      <c r="J95" s="13" t="inlineStr">
        <is>
          <t>finetuned</t>
        </is>
      </c>
      <c r="K95" s="13" t="inlineStr">
        <is>
          <t>B</t>
        </is>
      </c>
      <c r="L95" s="13" t="inlineStr">
        <is>
          <t>B</t>
        </is>
      </c>
      <c r="M95" s="13" t="inlineStr">
        <is>
          <t>B</t>
        </is>
      </c>
      <c r="N95" s="13">
        <f>IF(K95="A", I95, J95)</f>
        <v/>
      </c>
      <c r="O95" s="13">
        <f>IF(L95="A", I95, J95)</f>
        <v/>
      </c>
      <c r="P95" s="13">
        <f>IF(M95="A", I95, J95)</f>
        <v/>
      </c>
      <c r="Q95" s="13" t="inlineStr">
        <is>
          <t>A is like non carnatic performer.</t>
        </is>
      </c>
      <c r="R95" s="13" t="inlineStr">
        <is>
          <t>Instrumental - Violin</t>
        </is>
      </c>
      <c r="S95" s="13" t="inlineStr">
        <is>
          <t>test</t>
        </is>
      </c>
      <c r="T95" s="13" t="n"/>
    </row>
    <row r="96" ht="15" customHeight="1">
      <c r="A96" s="13" t="inlineStr">
        <is>
          <t>PAB9BE11</t>
        </is>
      </c>
      <c r="B96" s="13">
        <f>VLOOKUP(A96,Table1[[#All],[Participant ID]:[Persona]],7,0)</f>
        <v/>
      </c>
      <c r="C96" s="15" t="inlineStr">
        <is>
          <t>2026-04-06T13:40:02</t>
        </is>
      </c>
      <c r="D96" s="13" t="inlineStr">
        <is>
          <t>P01</t>
        </is>
      </c>
      <c r="E96" s="13" t="inlineStr">
        <is>
          <t>Karpagambike_seg0044</t>
        </is>
      </c>
      <c r="F96" s="13" t="n">
        <v>5</v>
      </c>
      <c r="G96" s="13" t="inlineStr">
        <is>
          <t>audio/pairwise/Karpagambike_seg0044-baseline_20s.wav</t>
        </is>
      </c>
      <c r="H96" s="13" t="inlineStr">
        <is>
          <t>audio/pairwise/Karpagambike_seg0044-finetuned_20s.wav</t>
        </is>
      </c>
      <c r="I96" s="13" t="inlineStr">
        <is>
          <t>baseline</t>
        </is>
      </c>
      <c r="J96" s="13" t="inlineStr">
        <is>
          <t>finetuned</t>
        </is>
      </c>
      <c r="K96" s="13" t="inlineStr">
        <is>
          <t>A</t>
        </is>
      </c>
      <c r="L96" s="13" t="inlineStr">
        <is>
          <t>B</t>
        </is>
      </c>
      <c r="M96" s="13" t="inlineStr">
        <is>
          <t>A</t>
        </is>
      </c>
      <c r="N96" s="13">
        <f>IF(K96="A", I96, J96)</f>
        <v/>
      </c>
      <c r="O96" s="13">
        <f>IF(L96="A", I96, J96)</f>
        <v/>
      </c>
      <c r="P96" s="13">
        <f>IF(M96="A", I96, J96)</f>
        <v/>
      </c>
      <c r="Q96" s="13" t="inlineStr">
        <is>
          <t>A is western mix fusion</t>
        </is>
      </c>
      <c r="R96" s="13" t="inlineStr">
        <is>
          <t>Vocal</t>
        </is>
      </c>
      <c r="S96" s="13" t="inlineStr">
        <is>
          <t>test</t>
        </is>
      </c>
      <c r="T96" s="13" t="n"/>
    </row>
    <row r="97" ht="15" customHeight="1">
      <c r="A97" s="13" t="inlineStr">
        <is>
          <t>PAB9BE11</t>
        </is>
      </c>
      <c r="B97" s="13">
        <f>VLOOKUP(A97,Table1[[#All],[Participant ID]:[Persona]],7,0)</f>
        <v/>
      </c>
      <c r="C97" s="15" t="inlineStr">
        <is>
          <t>2026-04-06T13:40:02</t>
        </is>
      </c>
      <c r="D97" s="13" t="inlineStr">
        <is>
          <t>P04</t>
        </is>
      </c>
      <c r="E97" s="13" t="inlineStr">
        <is>
          <t>Deva_Deva_Jagadeesha_seg0006</t>
        </is>
      </c>
      <c r="F97" s="13" t="n">
        <v>6</v>
      </c>
      <c r="G97" s="13" t="inlineStr">
        <is>
          <t>audio/pairwise/Deva_Deva_Jagadeesha_seg0006-baseline_20s.wav</t>
        </is>
      </c>
      <c r="H97" s="13" t="inlineStr">
        <is>
          <t>audio/pairwise/Deva_Deva_Jagadeesha_seg0006-finetuned_20s.wav</t>
        </is>
      </c>
      <c r="I97" s="13" t="inlineStr">
        <is>
          <t>baseline</t>
        </is>
      </c>
      <c r="J97" s="13" t="inlineStr">
        <is>
          <t>finetuned</t>
        </is>
      </c>
      <c r="K97" s="13" t="inlineStr">
        <is>
          <t>B</t>
        </is>
      </c>
      <c r="L97" s="13" t="inlineStr">
        <is>
          <t>B</t>
        </is>
      </c>
      <c r="M97" s="13" t="inlineStr">
        <is>
          <t>B</t>
        </is>
      </c>
      <c r="N97" s="13">
        <f>IF(K97="A", I97, J97)</f>
        <v/>
      </c>
      <c r="O97" s="13">
        <f>IF(L97="A", I97, J97)</f>
        <v/>
      </c>
      <c r="P97" s="13">
        <f>IF(M97="A", I97, J97)</f>
        <v/>
      </c>
      <c r="Q97" s="13" t="inlineStr">
        <is>
          <t>A may be Testing mic and pitch,  before concert started.</t>
        </is>
      </c>
      <c r="R97" s="13" t="inlineStr">
        <is>
          <t>Instrumental - Violin</t>
        </is>
      </c>
      <c r="S97" s="13" t="inlineStr">
        <is>
          <t>test</t>
        </is>
      </c>
      <c r="T97" s="13" t="n"/>
    </row>
    <row r="98" ht="15" customHeight="1">
      <c r="A98" s="13" t="inlineStr">
        <is>
          <t>PA6DF52A</t>
        </is>
      </c>
      <c r="B98" s="13">
        <f>VLOOKUP(A98,Table1[[#All],[Participant ID]:[Persona]],7,0)</f>
        <v/>
      </c>
      <c r="C98" s="15" t="inlineStr">
        <is>
          <t>2026-04-06T15:58:50</t>
        </is>
      </c>
      <c r="D98" s="13" t="inlineStr">
        <is>
          <t>P02</t>
        </is>
      </c>
      <c r="E98" s="13" t="inlineStr">
        <is>
          <t>Raksha_Bettare_seg0201</t>
        </is>
      </c>
      <c r="F98" s="13" t="n">
        <v>1</v>
      </c>
      <c r="G98" s="13" t="inlineStr">
        <is>
          <t>audio/pairwise/Raksha_Bettare_seg0201-baseline_20s.wav</t>
        </is>
      </c>
      <c r="H98" s="13" t="inlineStr">
        <is>
          <t>audio/pairwise/Raksha_Bettare_seg0201-finetuned_20s.wav</t>
        </is>
      </c>
      <c r="I98" s="13" t="inlineStr">
        <is>
          <t>baseline</t>
        </is>
      </c>
      <c r="J98" s="13" t="inlineStr">
        <is>
          <t>finetuned</t>
        </is>
      </c>
      <c r="K98" s="13" t="inlineStr">
        <is>
          <t>A</t>
        </is>
      </c>
      <c r="L98" s="13" t="inlineStr">
        <is>
          <t>A</t>
        </is>
      </c>
      <c r="M98" s="13" t="inlineStr">
        <is>
          <t>A</t>
        </is>
      </c>
      <c r="N98" s="13">
        <f>IF(K98="A", I98, J98)</f>
        <v/>
      </c>
      <c r="O98" s="13">
        <f>IF(L98="A", I98, J98)</f>
        <v/>
      </c>
      <c r="P98" s="13">
        <f>IF(M98="A", I98, J98)</f>
        <v/>
      </c>
      <c r="Q98" s="13" t="inlineStr">
        <is>
          <t>Clip B started good, lost track midpath</t>
        </is>
      </c>
      <c r="R98" s="13" t="inlineStr">
        <is>
          <t>Vocal</t>
        </is>
      </c>
      <c r="S98" s="13" t="inlineStr">
        <is>
          <t>test</t>
        </is>
      </c>
      <c r="T98" s="13" t="n"/>
    </row>
    <row r="99" ht="15" customHeight="1">
      <c r="A99" s="13" t="inlineStr">
        <is>
          <t>PA6DF52A</t>
        </is>
      </c>
      <c r="B99" s="13">
        <f>VLOOKUP(A99,Table1[[#All],[Participant ID]:[Persona]],7,0)</f>
        <v/>
      </c>
      <c r="C99" s="15" t="inlineStr">
        <is>
          <t>2026-04-06T15:58:50</t>
        </is>
      </c>
      <c r="D99" s="13" t="inlineStr">
        <is>
          <t>P04</t>
        </is>
      </c>
      <c r="E99" s="13" t="inlineStr">
        <is>
          <t>Deva_Deva_Jagadeesha_seg0006</t>
        </is>
      </c>
      <c r="F99" s="13" t="n">
        <v>2</v>
      </c>
      <c r="G99" s="13" t="inlineStr">
        <is>
          <t>audio/pairwise/Deva_Deva_Jagadeesha_seg0006-baseline_20s.wav</t>
        </is>
      </c>
      <c r="H99" s="13" t="inlineStr">
        <is>
          <t>audio/pairwise/Deva_Deva_Jagadeesha_seg0006-finetuned_20s.wav</t>
        </is>
      </c>
      <c r="I99" s="13" t="inlineStr">
        <is>
          <t>baseline</t>
        </is>
      </c>
      <c r="J99" s="13" t="inlineStr">
        <is>
          <t>finetuned</t>
        </is>
      </c>
      <c r="K99" s="13" t="inlineStr">
        <is>
          <t>B</t>
        </is>
      </c>
      <c r="L99" s="13" t="inlineStr">
        <is>
          <t>B</t>
        </is>
      </c>
      <c r="M99" s="13" t="inlineStr">
        <is>
          <t>A</t>
        </is>
      </c>
      <c r="N99" s="13">
        <f>IF(K99="A", I99, J99)</f>
        <v/>
      </c>
      <c r="O99" s="13">
        <f>IF(L99="A", I99, J99)</f>
        <v/>
      </c>
      <c r="P99" s="13">
        <f>IF(M99="A", I99, J99)</f>
        <v/>
      </c>
      <c r="Q99" s="13" t="inlineStr">
        <is>
          <t>Tracks sound mumbled</t>
        </is>
      </c>
      <c r="R99" s="13" t="inlineStr">
        <is>
          <t>Instrumental - Violin</t>
        </is>
      </c>
      <c r="S99" s="13" t="inlineStr">
        <is>
          <t>test</t>
        </is>
      </c>
      <c r="T99" s="13" t="n"/>
    </row>
    <row r="100" ht="15" customHeight="1">
      <c r="A100" s="13" t="inlineStr">
        <is>
          <t>PA6DF52A</t>
        </is>
      </c>
      <c r="B100" s="13">
        <f>VLOOKUP(A100,Table1[[#All],[Participant ID]:[Persona]],7,0)</f>
        <v/>
      </c>
      <c r="C100" s="15" t="inlineStr">
        <is>
          <t>2026-04-06T15:58:50</t>
        </is>
      </c>
      <c r="D100" s="13" t="inlineStr">
        <is>
          <t>P06</t>
        </is>
      </c>
      <c r="E100" s="13" t="inlineStr">
        <is>
          <t>Seshachala_Nayakam_seg0142</t>
        </is>
      </c>
      <c r="F100" s="13" t="n">
        <v>3</v>
      </c>
      <c r="G100" s="13" t="inlineStr">
        <is>
          <t>audio/pairwise/Seshachala_Nayakam_seg0142-finetuned_20s.wav</t>
        </is>
      </c>
      <c r="H100" s="13" t="inlineStr">
        <is>
          <t>audio/pairwise/Seshachala_Nayakam_seg0142-baseline_20s.wav</t>
        </is>
      </c>
      <c r="I100" s="13" t="inlineStr">
        <is>
          <t>finetuned</t>
        </is>
      </c>
      <c r="J100" s="13" t="inlineStr">
        <is>
          <t>baseline</t>
        </is>
      </c>
      <c r="K100" s="13" t="inlineStr">
        <is>
          <t>A</t>
        </is>
      </c>
      <c r="L100" s="13" t="inlineStr">
        <is>
          <t>A</t>
        </is>
      </c>
      <c r="M100" s="13" t="inlineStr">
        <is>
          <t>A</t>
        </is>
      </c>
      <c r="N100" s="13">
        <f>IF(K100="A", I100, J100)</f>
        <v/>
      </c>
      <c r="O100" s="13">
        <f>IF(L100="A", I100, J100)</f>
        <v/>
      </c>
      <c r="P100" s="13">
        <f>IF(M100="A", I100, J100)</f>
        <v/>
      </c>
      <c r="Q100" s="13" t="inlineStr">
        <is>
          <t>Clip B was good for the first 10 seconds and then switched to something else</t>
        </is>
      </c>
      <c r="R100" s="13" t="inlineStr">
        <is>
          <t>Instrumental - Violin</t>
        </is>
      </c>
      <c r="S100" s="13" t="inlineStr">
        <is>
          <t>test</t>
        </is>
      </c>
      <c r="T100" s="13" t="n"/>
    </row>
    <row r="101" ht="15" customHeight="1">
      <c r="A101" s="13" t="inlineStr">
        <is>
          <t>PA6DF52A</t>
        </is>
      </c>
      <c r="B101" s="13">
        <f>VLOOKUP(A101,Table1[[#All],[Participant ID]:[Persona]],7,0)</f>
        <v/>
      </c>
      <c r="C101" s="15" t="inlineStr">
        <is>
          <t>2026-04-06T15:58:50</t>
        </is>
      </c>
      <c r="D101" s="13" t="inlineStr">
        <is>
          <t>P03</t>
        </is>
      </c>
      <c r="E101" s="13" t="inlineStr">
        <is>
          <t>Ramanatham_Bhajeham_seg0029</t>
        </is>
      </c>
      <c r="F101" s="13" t="n">
        <v>4</v>
      </c>
      <c r="G101" s="13" t="inlineStr">
        <is>
          <t>audio/pairwise/Ramanatham_Bhajeham_seg0029-finetuned_20s.wav</t>
        </is>
      </c>
      <c r="H101" s="13" t="inlineStr">
        <is>
          <t>audio/pairwise/Ramanatham_Bhajeham_seg0029-baseline_20s.wav</t>
        </is>
      </c>
      <c r="I101" s="13" t="inlineStr">
        <is>
          <t>finetuned</t>
        </is>
      </c>
      <c r="J101" s="13" t="inlineStr">
        <is>
          <t>baseline</t>
        </is>
      </c>
      <c r="K101" s="13" t="inlineStr">
        <is>
          <t>B</t>
        </is>
      </c>
      <c r="L101" s="13" t="inlineStr">
        <is>
          <t>B</t>
        </is>
      </c>
      <c r="M101" s="13" t="inlineStr">
        <is>
          <t>B</t>
        </is>
      </c>
      <c r="N101" s="13">
        <f>IF(K101="A", I101, J101)</f>
        <v/>
      </c>
      <c r="O101" s="13">
        <f>IF(L101="A", I101, J101)</f>
        <v/>
      </c>
      <c r="P101" s="13">
        <f>IF(M101="A", I101, J101)</f>
        <v/>
      </c>
      <c r="Q101" s="13" t="n"/>
      <c r="R101" s="13" t="inlineStr">
        <is>
          <t>Vocal</t>
        </is>
      </c>
      <c r="S101" s="13" t="inlineStr">
        <is>
          <t>test</t>
        </is>
      </c>
      <c r="T101" s="13" t="n"/>
    </row>
    <row r="102" ht="15" customHeight="1">
      <c r="A102" s="13" t="inlineStr">
        <is>
          <t>PA6DF52A</t>
        </is>
      </c>
      <c r="B102" s="13">
        <f>VLOOKUP(A102,Table1[[#All],[Participant ID]:[Persona]],7,0)</f>
        <v/>
      </c>
      <c r="C102" s="15" t="inlineStr">
        <is>
          <t>2026-04-06T15:58:50</t>
        </is>
      </c>
      <c r="D102" s="13" t="inlineStr">
        <is>
          <t>P05</t>
        </is>
      </c>
      <c r="E102" s="13" t="inlineStr">
        <is>
          <t>Nannupalimpa_seg0235</t>
        </is>
      </c>
      <c r="F102" s="13" t="n">
        <v>5</v>
      </c>
      <c r="G102" s="13" t="inlineStr">
        <is>
          <t>audio/pairwise/Nannupalimpa_seg0235-finetuned_20s.wav</t>
        </is>
      </c>
      <c r="H102" s="13" t="inlineStr">
        <is>
          <t>audio/pairwise/Nannupalimpa_seg0235-baseline_20s.wav</t>
        </is>
      </c>
      <c r="I102" s="13" t="inlineStr">
        <is>
          <t>finetuned</t>
        </is>
      </c>
      <c r="J102" s="13" t="inlineStr">
        <is>
          <t>baseline</t>
        </is>
      </c>
      <c r="K102" s="13" t="inlineStr">
        <is>
          <t>B</t>
        </is>
      </c>
      <c r="L102" s="13" t="inlineStr">
        <is>
          <t>B</t>
        </is>
      </c>
      <c r="M102" s="13" t="inlineStr">
        <is>
          <t>B</t>
        </is>
      </c>
      <c r="N102" s="13">
        <f>IF(K102="A", I102, J102)</f>
        <v/>
      </c>
      <c r="O102" s="13">
        <f>IF(L102="A", I102, J102)</f>
        <v/>
      </c>
      <c r="P102" s="13">
        <f>IF(M102="A", I102, J102)</f>
        <v/>
      </c>
      <c r="Q102" s="13" t="n"/>
      <c r="R102" s="13" t="inlineStr">
        <is>
          <t>Percussion - Mirudhangam</t>
        </is>
      </c>
      <c r="S102" s="13" t="inlineStr">
        <is>
          <t>test</t>
        </is>
      </c>
      <c r="T102" s="13" t="n"/>
    </row>
    <row r="103" ht="15" customHeight="1">
      <c r="A103" s="13" t="inlineStr">
        <is>
          <t>PA6DF52A</t>
        </is>
      </c>
      <c r="B103" s="13">
        <f>VLOOKUP(A103,Table1[[#All],[Participant ID]:[Persona]],7,0)</f>
        <v/>
      </c>
      <c r="C103" s="15" t="inlineStr">
        <is>
          <t>2026-04-06T15:58:50</t>
        </is>
      </c>
      <c r="D103" s="13" t="inlineStr">
        <is>
          <t>P01</t>
        </is>
      </c>
      <c r="E103" s="13" t="inlineStr">
        <is>
          <t>Karpagambike_seg0044</t>
        </is>
      </c>
      <c r="F103" s="13" t="n">
        <v>6</v>
      </c>
      <c r="G103" s="13" t="inlineStr">
        <is>
          <t>audio/pairwise/Karpagambike_seg0044-baseline_20s.wav</t>
        </is>
      </c>
      <c r="H103" s="13" t="inlineStr">
        <is>
          <t>audio/pairwise/Karpagambike_seg0044-finetuned_20s.wav</t>
        </is>
      </c>
      <c r="I103" s="13" t="inlineStr">
        <is>
          <t>baseline</t>
        </is>
      </c>
      <c r="J103" s="13" t="inlineStr">
        <is>
          <t>finetuned</t>
        </is>
      </c>
      <c r="K103" s="13" t="inlineStr">
        <is>
          <t>A</t>
        </is>
      </c>
      <c r="L103" s="13" t="inlineStr">
        <is>
          <t>A</t>
        </is>
      </c>
      <c r="M103" s="13" t="inlineStr">
        <is>
          <t>A</t>
        </is>
      </c>
      <c r="N103" s="13">
        <f>IF(K103="A", I103, J103)</f>
        <v/>
      </c>
      <c r="O103" s="13">
        <f>IF(L103="A", I103, J103)</f>
        <v/>
      </c>
      <c r="P103" s="13">
        <f>IF(M103="A", I103, J103)</f>
        <v/>
      </c>
      <c r="Q103" s="13" t="inlineStr">
        <is>
          <t>Clip B gets distorted</t>
        </is>
      </c>
      <c r="R103" s="13" t="inlineStr">
        <is>
          <t>Vocal</t>
        </is>
      </c>
      <c r="S103" s="13" t="inlineStr">
        <is>
          <t>test</t>
        </is>
      </c>
      <c r="T103" s="13" t="n"/>
    </row>
    <row r="104" ht="15" customHeight="1">
      <c r="A104" s="13" t="inlineStr">
        <is>
          <t>PABCC288</t>
        </is>
      </c>
      <c r="B104" s="13">
        <f>VLOOKUP(A104,Table1[[#All],[Participant ID]:[Persona]],7,0)</f>
        <v/>
      </c>
      <c r="C104" s="15" t="inlineStr">
        <is>
          <t>2026-04-06T17:20:51</t>
        </is>
      </c>
      <c r="D104" s="13" t="inlineStr">
        <is>
          <t>P03</t>
        </is>
      </c>
      <c r="E104" s="13" t="inlineStr">
        <is>
          <t>Ramanatham_Bhajeham_seg0029</t>
        </is>
      </c>
      <c r="F104" s="13" t="n">
        <v>1</v>
      </c>
      <c r="G104" s="13" t="inlineStr">
        <is>
          <t>audio/pairwise/Ramanatham_Bhajeham_seg0029-baseline_20s.wav</t>
        </is>
      </c>
      <c r="H104" s="13" t="inlineStr">
        <is>
          <t>audio/pairwise/Ramanatham_Bhajeham_seg0029-finetuned_20s.wav</t>
        </is>
      </c>
      <c r="I104" s="13" t="inlineStr">
        <is>
          <t>baseline</t>
        </is>
      </c>
      <c r="J104" s="13" t="inlineStr">
        <is>
          <t>finetuned</t>
        </is>
      </c>
      <c r="K104" s="13" t="inlineStr">
        <is>
          <t>B</t>
        </is>
      </c>
      <c r="L104" s="13" t="inlineStr">
        <is>
          <t>B</t>
        </is>
      </c>
      <c r="M104" s="13" t="inlineStr">
        <is>
          <t>B</t>
        </is>
      </c>
      <c r="N104" s="13">
        <f>IF(K104="A", I104, J104)</f>
        <v/>
      </c>
      <c r="O104" s="13">
        <f>IF(L104="A", I104, J104)</f>
        <v/>
      </c>
      <c r="P104" s="13">
        <f>IF(M104="A", I104, J104)</f>
        <v/>
      </c>
      <c r="Q104" s="13" t="inlineStr">
        <is>
          <t>Voice is handled better with some depth</t>
        </is>
      </c>
      <c r="R104" s="13" t="inlineStr">
        <is>
          <t>Vocal</t>
        </is>
      </c>
      <c r="S104" s="13" t="inlineStr">
        <is>
          <t>test</t>
        </is>
      </c>
      <c r="T104" s="13" t="n"/>
    </row>
    <row r="105" ht="15" customHeight="1">
      <c r="A105" s="13" t="inlineStr">
        <is>
          <t>PABCC288</t>
        </is>
      </c>
      <c r="B105" s="13">
        <f>VLOOKUP(A105,Table1[[#All],[Participant ID]:[Persona]],7,0)</f>
        <v/>
      </c>
      <c r="C105" s="15" t="inlineStr">
        <is>
          <t>2026-04-06T17:20:51</t>
        </is>
      </c>
      <c r="D105" s="13" t="inlineStr">
        <is>
          <t>P06</t>
        </is>
      </c>
      <c r="E105" s="13" t="inlineStr">
        <is>
          <t>Seshachala_Nayakam_seg0142</t>
        </is>
      </c>
      <c r="F105" s="13" t="n">
        <v>2</v>
      </c>
      <c r="G105" s="13" t="inlineStr">
        <is>
          <t>audio/pairwise/Seshachala_Nayakam_seg0142-baseline_20s.wav</t>
        </is>
      </c>
      <c r="H105" s="13" t="inlineStr">
        <is>
          <t>audio/pairwise/Seshachala_Nayakam_seg0142-finetuned_20s.wav</t>
        </is>
      </c>
      <c r="I105" s="13" t="inlineStr">
        <is>
          <t>baseline</t>
        </is>
      </c>
      <c r="J105" s="13" t="inlineStr">
        <is>
          <t>finetuned</t>
        </is>
      </c>
      <c r="K105" s="13" t="inlineStr">
        <is>
          <t>B</t>
        </is>
      </c>
      <c r="L105" s="13" t="inlineStr">
        <is>
          <t>B</t>
        </is>
      </c>
      <c r="M105" s="13" t="inlineStr">
        <is>
          <t>B</t>
        </is>
      </c>
      <c r="N105" s="13">
        <f>IF(K105="A", I105, J105)</f>
        <v/>
      </c>
      <c r="O105" s="13">
        <f>IF(L105="A", I105, J105)</f>
        <v/>
      </c>
      <c r="P105" s="13">
        <f>IF(M105="A", I105, J105)</f>
        <v/>
      </c>
      <c r="Q105" s="13" t="n"/>
      <c r="R105" s="13" t="inlineStr">
        <is>
          <t>Instrumental - Violin</t>
        </is>
      </c>
      <c r="S105" s="13" t="inlineStr">
        <is>
          <t>test</t>
        </is>
      </c>
      <c r="T105" s="13" t="n"/>
    </row>
    <row r="106" ht="15" customHeight="1">
      <c r="A106" s="13" t="inlineStr">
        <is>
          <t>PABCC288</t>
        </is>
      </c>
      <c r="B106" s="13">
        <f>VLOOKUP(A106,Table1[[#All],[Participant ID]:[Persona]],7,0)</f>
        <v/>
      </c>
      <c r="C106" s="15" t="inlineStr">
        <is>
          <t>2026-04-06T17:20:51</t>
        </is>
      </c>
      <c r="D106" s="13" t="inlineStr">
        <is>
          <t>P01</t>
        </is>
      </c>
      <c r="E106" s="13" t="inlineStr">
        <is>
          <t>Karpagambike_seg0044</t>
        </is>
      </c>
      <c r="F106" s="13" t="n">
        <v>3</v>
      </c>
      <c r="G106" s="13" t="inlineStr">
        <is>
          <t>audio/pairwise/Karpagambike_seg0044-finetuned_20s.wav</t>
        </is>
      </c>
      <c r="H106" s="13" t="inlineStr">
        <is>
          <t>audio/pairwise/Karpagambike_seg0044-baseline_20s.wav</t>
        </is>
      </c>
      <c r="I106" s="13" t="inlineStr">
        <is>
          <t>finetuned</t>
        </is>
      </c>
      <c r="J106" s="13" t="inlineStr">
        <is>
          <t>baseline</t>
        </is>
      </c>
      <c r="K106" s="13" t="inlineStr">
        <is>
          <t>A</t>
        </is>
      </c>
      <c r="L106" s="13" t="inlineStr">
        <is>
          <t>A</t>
        </is>
      </c>
      <c r="M106" s="13" t="inlineStr">
        <is>
          <t>A</t>
        </is>
      </c>
      <c r="N106" s="13">
        <f>IF(K106="A", I106, J106)</f>
        <v/>
      </c>
      <c r="O106" s="13">
        <f>IF(L106="A", I106, J106)</f>
        <v/>
      </c>
      <c r="P106" s="13">
        <f>IF(M106="A", I106, J106)</f>
        <v/>
      </c>
      <c r="Q106" s="13" t="n"/>
      <c r="R106" s="13" t="inlineStr">
        <is>
          <t>Vocal</t>
        </is>
      </c>
      <c r="S106" s="13" t="inlineStr">
        <is>
          <t>test</t>
        </is>
      </c>
      <c r="T106" s="13" t="n"/>
    </row>
    <row r="107" ht="15" customHeight="1">
      <c r="A107" s="13" t="inlineStr">
        <is>
          <t>PABCC288</t>
        </is>
      </c>
      <c r="B107" s="13">
        <f>VLOOKUP(A107,Table1[[#All],[Participant ID]:[Persona]],7,0)</f>
        <v/>
      </c>
      <c r="C107" s="15" t="inlineStr">
        <is>
          <t>2026-04-06T17:20:51</t>
        </is>
      </c>
      <c r="D107" s="13" t="inlineStr">
        <is>
          <t>P04</t>
        </is>
      </c>
      <c r="E107" s="13" t="inlineStr">
        <is>
          <t>Deva_Deva_Jagadeesha_seg0006</t>
        </is>
      </c>
      <c r="F107" s="13" t="n">
        <v>4</v>
      </c>
      <c r="G107" s="13" t="inlineStr">
        <is>
          <t>audio/pairwise/Deva_Deva_Jagadeesha_seg0006-finetuned_20s.wav</t>
        </is>
      </c>
      <c r="H107" s="13" t="inlineStr">
        <is>
          <t>audio/pairwise/Deva_Deva_Jagadeesha_seg0006-baseline_20s.wav</t>
        </is>
      </c>
      <c r="I107" s="13" t="inlineStr">
        <is>
          <t>finetuned</t>
        </is>
      </c>
      <c r="J107" s="13" t="inlineStr">
        <is>
          <t>baseline</t>
        </is>
      </c>
      <c r="K107" s="13" t="inlineStr">
        <is>
          <t>A</t>
        </is>
      </c>
      <c r="L107" s="13" t="inlineStr">
        <is>
          <t>A</t>
        </is>
      </c>
      <c r="M107" s="13" t="inlineStr">
        <is>
          <t>A</t>
        </is>
      </c>
      <c r="N107" s="13">
        <f>IF(K107="A", I107, J107)</f>
        <v/>
      </c>
      <c r="O107" s="13">
        <f>IF(L107="A", I107, J107)</f>
        <v/>
      </c>
      <c r="P107" s="13">
        <f>IF(M107="A", I107, J107)</f>
        <v/>
      </c>
      <c r="Q107" s="13" t="n"/>
      <c r="R107" s="13" t="inlineStr">
        <is>
          <t>Instrumental - Violin</t>
        </is>
      </c>
      <c r="S107" s="13" t="inlineStr">
        <is>
          <t>test</t>
        </is>
      </c>
      <c r="T107" s="13" t="n"/>
    </row>
    <row r="108" ht="15" customHeight="1">
      <c r="A108" s="13" t="inlineStr">
        <is>
          <t>PABCC288</t>
        </is>
      </c>
      <c r="B108" s="13">
        <f>VLOOKUP(A108,Table1[[#All],[Participant ID]:[Persona]],7,0)</f>
        <v/>
      </c>
      <c r="C108" s="15" t="inlineStr">
        <is>
          <t>2026-04-06T17:20:51</t>
        </is>
      </c>
      <c r="D108" s="13" t="inlineStr">
        <is>
          <t>P02</t>
        </is>
      </c>
      <c r="E108" s="13" t="inlineStr">
        <is>
          <t>Raksha_Bettare_seg0201</t>
        </is>
      </c>
      <c r="F108" s="13" t="n">
        <v>5</v>
      </c>
      <c r="G108" s="13" t="inlineStr">
        <is>
          <t>audio/pairwise/Raksha_Bettare_seg0201-finetuned_20s.wav</t>
        </is>
      </c>
      <c r="H108" s="13" t="inlineStr">
        <is>
          <t>audio/pairwise/Raksha_Bettare_seg0201-baseline_20s.wav</t>
        </is>
      </c>
      <c r="I108" s="13" t="inlineStr">
        <is>
          <t>finetuned</t>
        </is>
      </c>
      <c r="J108" s="13" t="inlineStr">
        <is>
          <t>baseline</t>
        </is>
      </c>
      <c r="K108" s="13" t="inlineStr">
        <is>
          <t>A</t>
        </is>
      </c>
      <c r="L108" s="13" t="inlineStr">
        <is>
          <t>A</t>
        </is>
      </c>
      <c r="M108" s="13" t="inlineStr">
        <is>
          <t>A</t>
        </is>
      </c>
      <c r="N108" s="13">
        <f>IF(K108="A", I108, J108)</f>
        <v/>
      </c>
      <c r="O108" s="13">
        <f>IF(L108="A", I108, J108)</f>
        <v/>
      </c>
      <c r="P108" s="13">
        <f>IF(M108="A", I108, J108)</f>
        <v/>
      </c>
      <c r="Q108" s="13" t="n"/>
      <c r="R108" s="13" t="inlineStr">
        <is>
          <t>Vocal</t>
        </is>
      </c>
      <c r="S108" s="13" t="inlineStr">
        <is>
          <t>test</t>
        </is>
      </c>
      <c r="T108" s="13" t="n"/>
    </row>
    <row r="109" ht="15" customHeight="1">
      <c r="A109" s="13" t="inlineStr">
        <is>
          <t>PABCC288</t>
        </is>
      </c>
      <c r="B109" s="13">
        <f>VLOOKUP(A109,Table1[[#All],[Participant ID]:[Persona]],7,0)</f>
        <v/>
      </c>
      <c r="C109" s="15" t="inlineStr">
        <is>
          <t>2026-04-06T17:20:51</t>
        </is>
      </c>
      <c r="D109" s="13" t="inlineStr">
        <is>
          <t>P05</t>
        </is>
      </c>
      <c r="E109" s="13" t="inlineStr">
        <is>
          <t>Nannupalimpa_seg0235</t>
        </is>
      </c>
      <c r="F109" s="13" t="n">
        <v>6</v>
      </c>
      <c r="G109" s="13" t="inlineStr">
        <is>
          <t>audio/pairwise/Nannupalimpa_seg0235-finetuned_20s.wav</t>
        </is>
      </c>
      <c r="H109" s="13" t="inlineStr">
        <is>
          <t>audio/pairwise/Nannupalimpa_seg0235-baseline_20s.wav</t>
        </is>
      </c>
      <c r="I109" s="13" t="inlineStr">
        <is>
          <t>finetuned</t>
        </is>
      </c>
      <c r="J109" s="13" t="inlineStr">
        <is>
          <t>baseline</t>
        </is>
      </c>
      <c r="K109" s="13" t="inlineStr">
        <is>
          <t>A</t>
        </is>
      </c>
      <c r="L109" s="13" t="inlineStr">
        <is>
          <t>A</t>
        </is>
      </c>
      <c r="M109" s="13" t="inlineStr">
        <is>
          <t>A</t>
        </is>
      </c>
      <c r="N109" s="13">
        <f>IF(K109="A", I109, J109)</f>
        <v/>
      </c>
      <c r="O109" s="13">
        <f>IF(L109="A", I109, J109)</f>
        <v/>
      </c>
      <c r="P109" s="13">
        <f>IF(M109="A", I109, J109)</f>
        <v/>
      </c>
      <c r="Q109" s="13" t="n"/>
      <c r="R109" s="13" t="inlineStr">
        <is>
          <t>Percussion - Mirudhangam</t>
        </is>
      </c>
      <c r="S109" s="13" t="inlineStr">
        <is>
          <t>test</t>
        </is>
      </c>
      <c r="T109" s="13" t="n"/>
    </row>
    <row r="110" ht="15" customHeight="1">
      <c r="A110" s="13" t="inlineStr">
        <is>
          <t>PA564067</t>
        </is>
      </c>
      <c r="B110" s="13">
        <f>VLOOKUP(A110,Table1[[#All],[Participant ID]:[Persona]],7,0)</f>
        <v/>
      </c>
      <c r="C110" s="15" t="inlineStr">
        <is>
          <t>2026-04-07T00:12:56</t>
        </is>
      </c>
      <c r="D110" s="13" t="inlineStr">
        <is>
          <t>P03</t>
        </is>
      </c>
      <c r="E110" s="13" t="inlineStr">
        <is>
          <t>Ramanatham_Bhajeham_seg0029</t>
        </is>
      </c>
      <c r="F110" s="13" t="n">
        <v>1</v>
      </c>
      <c r="G110" s="13" t="inlineStr">
        <is>
          <t>audio/pairwise/Ramanatham_Bhajeham_seg0029-baseline_20s.wav</t>
        </is>
      </c>
      <c r="H110" s="13" t="inlineStr">
        <is>
          <t>audio/pairwise/Ramanatham_Bhajeham_seg0029-finetuned_20s.wav</t>
        </is>
      </c>
      <c r="I110" s="13" t="inlineStr">
        <is>
          <t>baseline</t>
        </is>
      </c>
      <c r="J110" s="13" t="inlineStr">
        <is>
          <t>finetuned</t>
        </is>
      </c>
      <c r="K110" s="13" t="inlineStr">
        <is>
          <t>B</t>
        </is>
      </c>
      <c r="L110" s="13" t="inlineStr">
        <is>
          <t>B</t>
        </is>
      </c>
      <c r="M110" s="13" t="inlineStr">
        <is>
          <t>B</t>
        </is>
      </c>
      <c r="N110" s="13">
        <f>IF(K110="A", I110, J110)</f>
        <v/>
      </c>
      <c r="O110" s="13">
        <f>IF(L110="A", I110, J110)</f>
        <v/>
      </c>
      <c r="P110" s="13">
        <f>IF(M110="A", I110, J110)</f>
        <v/>
      </c>
      <c r="Q110" s="13" t="n"/>
      <c r="R110" s="13" t="inlineStr">
        <is>
          <t>Vocal</t>
        </is>
      </c>
      <c r="S110" s="13" t="inlineStr">
        <is>
          <t>test</t>
        </is>
      </c>
      <c r="T110" s="13" t="n"/>
    </row>
    <row r="111" ht="15" customHeight="1">
      <c r="A111" s="13" t="inlineStr">
        <is>
          <t>PA564067</t>
        </is>
      </c>
      <c r="B111" s="13">
        <f>VLOOKUP(A111,Table1[[#All],[Participant ID]:[Persona]],7,0)</f>
        <v/>
      </c>
      <c r="C111" s="15" t="inlineStr">
        <is>
          <t>2026-04-07T00:12:56</t>
        </is>
      </c>
      <c r="D111" s="13" t="inlineStr">
        <is>
          <t>P04</t>
        </is>
      </c>
      <c r="E111" s="13" t="inlineStr">
        <is>
          <t>Deva_Deva_Jagadeesha_seg0006</t>
        </is>
      </c>
      <c r="F111" s="13" t="n">
        <v>2</v>
      </c>
      <c r="G111" s="13" t="inlineStr">
        <is>
          <t>audio/pairwise/Deva_Deva_Jagadeesha_seg0006-finetuned_20s.wav</t>
        </is>
      </c>
      <c r="H111" s="13" t="inlineStr">
        <is>
          <t>audio/pairwise/Deva_Deva_Jagadeesha_seg0006-baseline_20s.wav</t>
        </is>
      </c>
      <c r="I111" s="13" t="inlineStr">
        <is>
          <t>finetuned</t>
        </is>
      </c>
      <c r="J111" s="13" t="inlineStr">
        <is>
          <t>baseline</t>
        </is>
      </c>
      <c r="K111" s="13" t="inlineStr">
        <is>
          <t>B</t>
        </is>
      </c>
      <c r="L111" s="13" t="inlineStr">
        <is>
          <t>B</t>
        </is>
      </c>
      <c r="M111" s="13" t="inlineStr">
        <is>
          <t>B</t>
        </is>
      </c>
      <c r="N111" s="13">
        <f>IF(K111="A", I111, J111)</f>
        <v/>
      </c>
      <c r="O111" s="13">
        <f>IF(L111="A", I111, J111)</f>
        <v/>
      </c>
      <c r="P111" s="13">
        <f>IF(M111="A", I111, J111)</f>
        <v/>
      </c>
      <c r="Q111" s="13" t="n"/>
      <c r="R111" s="13" t="inlineStr">
        <is>
          <t>Instrumental - Violin</t>
        </is>
      </c>
      <c r="S111" s="13" t="inlineStr">
        <is>
          <t>test</t>
        </is>
      </c>
      <c r="T111" s="13" t="n"/>
    </row>
    <row r="112" ht="15" customHeight="1">
      <c r="A112" s="13" t="inlineStr">
        <is>
          <t>PA564067</t>
        </is>
      </c>
      <c r="B112" s="13">
        <f>VLOOKUP(A112,Table1[[#All],[Participant ID]:[Persona]],7,0)</f>
        <v/>
      </c>
      <c r="C112" s="15" t="inlineStr">
        <is>
          <t>2026-04-07T00:12:56</t>
        </is>
      </c>
      <c r="D112" s="13" t="inlineStr">
        <is>
          <t>P01</t>
        </is>
      </c>
      <c r="E112" s="13" t="inlineStr">
        <is>
          <t>Karpagambike_seg0044</t>
        </is>
      </c>
      <c r="F112" s="13" t="n">
        <v>3</v>
      </c>
      <c r="G112" s="13" t="inlineStr">
        <is>
          <t>audio/pairwise/Karpagambike_seg0044-baseline_20s.wav</t>
        </is>
      </c>
      <c r="H112" s="13" t="inlineStr">
        <is>
          <t>audio/pairwise/Karpagambike_seg0044-finetuned_20s.wav</t>
        </is>
      </c>
      <c r="I112" s="13" t="inlineStr">
        <is>
          <t>baseline</t>
        </is>
      </c>
      <c r="J112" s="13" t="inlineStr">
        <is>
          <t>finetuned</t>
        </is>
      </c>
      <c r="K112" s="13" t="inlineStr">
        <is>
          <t>B</t>
        </is>
      </c>
      <c r="L112" s="13" t="inlineStr">
        <is>
          <t>B</t>
        </is>
      </c>
      <c r="M112" s="13" t="inlineStr">
        <is>
          <t>B</t>
        </is>
      </c>
      <c r="N112" s="13">
        <f>IF(K112="A", I112, J112)</f>
        <v/>
      </c>
      <c r="O112" s="13">
        <f>IF(L112="A", I112, J112)</f>
        <v/>
      </c>
      <c r="P112" s="13">
        <f>IF(M112="A", I112, J112)</f>
        <v/>
      </c>
      <c r="Q112" s="13" t="n"/>
      <c r="R112" s="13" t="inlineStr">
        <is>
          <t>Vocal</t>
        </is>
      </c>
      <c r="S112" s="13" t="inlineStr">
        <is>
          <t>test</t>
        </is>
      </c>
      <c r="T112" s="13" t="n"/>
    </row>
    <row r="113" ht="15" customHeight="1">
      <c r="A113" s="13" t="inlineStr">
        <is>
          <t>PA564067</t>
        </is>
      </c>
      <c r="B113" s="13">
        <f>VLOOKUP(A113,Table1[[#All],[Participant ID]:[Persona]],7,0)</f>
        <v/>
      </c>
      <c r="C113" s="15" t="inlineStr">
        <is>
          <t>2026-04-07T00:12:56</t>
        </is>
      </c>
      <c r="D113" s="13" t="inlineStr">
        <is>
          <t>P05</t>
        </is>
      </c>
      <c r="E113" s="13" t="inlineStr">
        <is>
          <t>Nannupalimpa_seg0235</t>
        </is>
      </c>
      <c r="F113" s="13" t="n">
        <v>4</v>
      </c>
      <c r="G113" s="13" t="inlineStr">
        <is>
          <t>audio/pairwise/Nannupalimpa_seg0235-finetuned_20s.wav</t>
        </is>
      </c>
      <c r="H113" s="13" t="inlineStr">
        <is>
          <t>audio/pairwise/Nannupalimpa_seg0235-baseline_20s.wav</t>
        </is>
      </c>
      <c r="I113" s="13" t="inlineStr">
        <is>
          <t>finetuned</t>
        </is>
      </c>
      <c r="J113" s="13" t="inlineStr">
        <is>
          <t>baseline</t>
        </is>
      </c>
      <c r="K113" s="13" t="inlineStr">
        <is>
          <t>A</t>
        </is>
      </c>
      <c r="L113" s="13" t="inlineStr">
        <is>
          <t>A</t>
        </is>
      </c>
      <c r="M113" s="13" t="inlineStr">
        <is>
          <t>A</t>
        </is>
      </c>
      <c r="N113" s="13">
        <f>IF(K113="A", I113, J113)</f>
        <v/>
      </c>
      <c r="O113" s="13">
        <f>IF(L113="A", I113, J113)</f>
        <v/>
      </c>
      <c r="P113" s="13">
        <f>IF(M113="A", I113, J113)</f>
        <v/>
      </c>
      <c r="Q113" s="13" t="n"/>
      <c r="R113" s="13" t="inlineStr">
        <is>
          <t>Percussion - Mirudhangam</t>
        </is>
      </c>
      <c r="S113" s="13" t="inlineStr">
        <is>
          <t>test</t>
        </is>
      </c>
      <c r="T113" s="13" t="n"/>
    </row>
    <row r="114" ht="15" customHeight="1">
      <c r="A114" s="13" t="inlineStr">
        <is>
          <t>PA564067</t>
        </is>
      </c>
      <c r="B114" s="13">
        <f>VLOOKUP(A114,Table1[[#All],[Participant ID]:[Persona]],7,0)</f>
        <v/>
      </c>
      <c r="C114" s="15" t="inlineStr">
        <is>
          <t>2026-04-07T00:12:56</t>
        </is>
      </c>
      <c r="D114" s="13" t="inlineStr">
        <is>
          <t>P06</t>
        </is>
      </c>
      <c r="E114" s="13" t="inlineStr">
        <is>
          <t>Seshachala_Nayakam_seg0142</t>
        </is>
      </c>
      <c r="F114" s="13" t="n">
        <v>5</v>
      </c>
      <c r="G114" s="13" t="inlineStr">
        <is>
          <t>audio/pairwise/Seshachala_Nayakam_seg0142-baseline_20s.wav</t>
        </is>
      </c>
      <c r="H114" s="13" t="inlineStr">
        <is>
          <t>audio/pairwise/Seshachala_Nayakam_seg0142-finetuned_20s.wav</t>
        </is>
      </c>
      <c r="I114" s="13" t="inlineStr">
        <is>
          <t>baseline</t>
        </is>
      </c>
      <c r="J114" s="13" t="inlineStr">
        <is>
          <t>finetuned</t>
        </is>
      </c>
      <c r="K114" s="13" t="inlineStr">
        <is>
          <t>A</t>
        </is>
      </c>
      <c r="L114" s="13" t="inlineStr">
        <is>
          <t>A</t>
        </is>
      </c>
      <c r="M114" s="13" t="inlineStr">
        <is>
          <t>B</t>
        </is>
      </c>
      <c r="N114" s="13">
        <f>IF(K114="A", I114, J114)</f>
        <v/>
      </c>
      <c r="O114" s="13">
        <f>IF(L114="A", I114, J114)</f>
        <v/>
      </c>
      <c r="P114" s="13">
        <f>IF(M114="A", I114, J114)</f>
        <v/>
      </c>
      <c r="Q114" s="13" t="n"/>
      <c r="R114" s="13" t="inlineStr">
        <is>
          <t>Instrumental - Violin</t>
        </is>
      </c>
      <c r="S114" s="13" t="inlineStr">
        <is>
          <t>test</t>
        </is>
      </c>
      <c r="T114" s="13" t="n"/>
    </row>
    <row r="115" ht="15" customHeight="1">
      <c r="A115" s="13" t="inlineStr">
        <is>
          <t>PA564067</t>
        </is>
      </c>
      <c r="B115" s="13">
        <f>VLOOKUP(A115,Table1[[#All],[Participant ID]:[Persona]],7,0)</f>
        <v/>
      </c>
      <c r="C115" s="15" t="inlineStr">
        <is>
          <t>2026-04-07T00:12:56</t>
        </is>
      </c>
      <c r="D115" s="13" t="inlineStr">
        <is>
          <t>P02</t>
        </is>
      </c>
      <c r="E115" s="13" t="inlineStr">
        <is>
          <t>Raksha_Bettare_seg0201</t>
        </is>
      </c>
      <c r="F115" s="13" t="n">
        <v>6</v>
      </c>
      <c r="G115" s="13" t="inlineStr">
        <is>
          <t>audio/pairwise/Raksha_Bettare_seg0201-finetuned_20s.wav</t>
        </is>
      </c>
      <c r="H115" s="13" t="inlineStr">
        <is>
          <t>audio/pairwise/Raksha_Bettare_seg0201-baseline_20s.wav</t>
        </is>
      </c>
      <c r="I115" s="13" t="inlineStr">
        <is>
          <t>finetuned</t>
        </is>
      </c>
      <c r="J115" s="13" t="inlineStr">
        <is>
          <t>baseline</t>
        </is>
      </c>
      <c r="K115" s="13" t="inlineStr">
        <is>
          <t>A</t>
        </is>
      </c>
      <c r="L115" s="13" t="inlineStr">
        <is>
          <t>A</t>
        </is>
      </c>
      <c r="M115" s="13" t="inlineStr">
        <is>
          <t>A</t>
        </is>
      </c>
      <c r="N115" s="13">
        <f>IF(K115="A", I115, J115)</f>
        <v/>
      </c>
      <c r="O115" s="13">
        <f>IF(L115="A", I115, J115)</f>
        <v/>
      </c>
      <c r="P115" s="13">
        <f>IF(M115="A", I115, J115)</f>
        <v/>
      </c>
      <c r="Q115" s="13" t="n"/>
      <c r="R115" s="13" t="inlineStr">
        <is>
          <t>Vocal</t>
        </is>
      </c>
      <c r="S115" s="13" t="inlineStr">
        <is>
          <t>test</t>
        </is>
      </c>
      <c r="T115" s="13" t="n"/>
    </row>
    <row r="116" ht="15" customHeight="1">
      <c r="A116" s="13" t="inlineStr">
        <is>
          <t>PA6013AB</t>
        </is>
      </c>
      <c r="B116" s="13">
        <f>VLOOKUP(A116,Table1[[#All],[Participant ID]:[Persona]],7,0)</f>
        <v/>
      </c>
      <c r="C116" s="15" t="inlineStr">
        <is>
          <t>2026-04-07T04:12:10</t>
        </is>
      </c>
      <c r="D116" s="13" t="inlineStr">
        <is>
          <t>P06</t>
        </is>
      </c>
      <c r="E116" s="13" t="inlineStr">
        <is>
          <t>Seshachala_Nayakam_seg0142</t>
        </is>
      </c>
      <c r="F116" s="13" t="n">
        <v>1</v>
      </c>
      <c r="G116" s="13" t="inlineStr">
        <is>
          <t>audio/pairwise/Seshachala_Nayakam_seg0142-finetuned_20s.wav</t>
        </is>
      </c>
      <c r="H116" s="13" t="inlineStr">
        <is>
          <t>audio/pairwise/Seshachala_Nayakam_seg0142-baseline_20s.wav</t>
        </is>
      </c>
      <c r="I116" s="13" t="inlineStr">
        <is>
          <t>finetuned</t>
        </is>
      </c>
      <c r="J116" s="13" t="inlineStr">
        <is>
          <t>baseline</t>
        </is>
      </c>
      <c r="K116" s="13" t="inlineStr">
        <is>
          <t>B</t>
        </is>
      </c>
      <c r="L116" s="13" t="inlineStr">
        <is>
          <t>A</t>
        </is>
      </c>
      <c r="M116" s="13" t="inlineStr">
        <is>
          <t>B</t>
        </is>
      </c>
      <c r="N116" s="13">
        <f>IF(K116="A", I116, J116)</f>
        <v/>
      </c>
      <c r="O116" s="13">
        <f>IF(L116="A", I116, J116)</f>
        <v/>
      </c>
      <c r="P116" s="13">
        <f>IF(M116="A", I116, J116)</f>
        <v/>
      </c>
      <c r="Q116" s="13" t="n"/>
      <c r="R116" s="13" t="inlineStr">
        <is>
          <t>Instrumental - Violin</t>
        </is>
      </c>
      <c r="S116" s="13" t="inlineStr">
        <is>
          <t>test</t>
        </is>
      </c>
      <c r="T116" s="13" t="n"/>
    </row>
    <row r="117" ht="15" customHeight="1">
      <c r="A117" s="13" t="inlineStr">
        <is>
          <t>PA6013AB</t>
        </is>
      </c>
      <c r="B117" s="13">
        <f>VLOOKUP(A117,Table1[[#All],[Participant ID]:[Persona]],7,0)</f>
        <v/>
      </c>
      <c r="C117" s="15" t="inlineStr">
        <is>
          <t>2026-04-07T04:12:10</t>
        </is>
      </c>
      <c r="D117" s="13" t="inlineStr">
        <is>
          <t>P01</t>
        </is>
      </c>
      <c r="E117" s="13" t="inlineStr">
        <is>
          <t>Karpagambike_seg0044</t>
        </is>
      </c>
      <c r="F117" s="13" t="n">
        <v>2</v>
      </c>
      <c r="G117" s="13" t="inlineStr">
        <is>
          <t>audio/pairwise/Karpagambike_seg0044-finetuned_20s.wav</t>
        </is>
      </c>
      <c r="H117" s="13" t="inlineStr">
        <is>
          <t>audio/pairwise/Karpagambike_seg0044-baseline_20s.wav</t>
        </is>
      </c>
      <c r="I117" s="13" t="inlineStr">
        <is>
          <t>finetuned</t>
        </is>
      </c>
      <c r="J117" s="13" t="inlineStr">
        <is>
          <t>baseline</t>
        </is>
      </c>
      <c r="K117" s="13" t="inlineStr">
        <is>
          <t>A</t>
        </is>
      </c>
      <c r="L117" s="13" t="inlineStr">
        <is>
          <t>A</t>
        </is>
      </c>
      <c r="M117" s="13" t="inlineStr">
        <is>
          <t>A</t>
        </is>
      </c>
      <c r="N117" s="13">
        <f>IF(K117="A", I117, J117)</f>
        <v/>
      </c>
      <c r="O117" s="13">
        <f>IF(L117="A", I117, J117)</f>
        <v/>
      </c>
      <c r="P117" s="13">
        <f>IF(M117="A", I117, J117)</f>
        <v/>
      </c>
      <c r="Q117" s="13" t="n"/>
      <c r="R117" s="13" t="inlineStr">
        <is>
          <t>Vocal</t>
        </is>
      </c>
      <c r="S117" s="13" t="inlineStr">
        <is>
          <t>test</t>
        </is>
      </c>
      <c r="T117" s="13" t="n"/>
    </row>
    <row r="118" ht="15" customHeight="1">
      <c r="A118" s="13" t="inlineStr">
        <is>
          <t>PA6013AB</t>
        </is>
      </c>
      <c r="B118" s="13">
        <f>VLOOKUP(A118,Table1[[#All],[Participant ID]:[Persona]],7,0)</f>
        <v/>
      </c>
      <c r="C118" s="15" t="inlineStr">
        <is>
          <t>2026-04-07T04:12:10</t>
        </is>
      </c>
      <c r="D118" s="13" t="inlineStr">
        <is>
          <t>P02</t>
        </is>
      </c>
      <c r="E118" s="13" t="inlineStr">
        <is>
          <t>Raksha_Bettare_seg0201</t>
        </is>
      </c>
      <c r="F118" s="13" t="n">
        <v>3</v>
      </c>
      <c r="G118" s="13" t="inlineStr">
        <is>
          <t>audio/pairwise/Raksha_Bettare_seg0201-finetuned_20s.wav</t>
        </is>
      </c>
      <c r="H118" s="13" t="inlineStr">
        <is>
          <t>audio/pairwise/Raksha_Bettare_seg0201-baseline_20s.wav</t>
        </is>
      </c>
      <c r="I118" s="13" t="inlineStr">
        <is>
          <t>finetuned</t>
        </is>
      </c>
      <c r="J118" s="13" t="inlineStr">
        <is>
          <t>baseline</t>
        </is>
      </c>
      <c r="K118" s="13" t="inlineStr">
        <is>
          <t>A</t>
        </is>
      </c>
      <c r="L118" s="13" t="inlineStr">
        <is>
          <t>B</t>
        </is>
      </c>
      <c r="M118" s="13" t="inlineStr">
        <is>
          <t>B</t>
        </is>
      </c>
      <c r="N118" s="13">
        <f>IF(K118="A", I118, J118)</f>
        <v/>
      </c>
      <c r="O118" s="13">
        <f>IF(L118="A", I118, J118)</f>
        <v/>
      </c>
      <c r="P118" s="13">
        <f>IF(M118="A", I118, J118)</f>
        <v/>
      </c>
      <c r="Q118" s="13" t="n"/>
      <c r="R118" s="13" t="inlineStr">
        <is>
          <t>Vocal</t>
        </is>
      </c>
      <c r="S118" s="13" t="inlineStr">
        <is>
          <t>test</t>
        </is>
      </c>
      <c r="T118" s="13" t="n"/>
    </row>
    <row r="119" ht="15" customHeight="1">
      <c r="A119" s="13" t="inlineStr">
        <is>
          <t>PA6013AB</t>
        </is>
      </c>
      <c r="B119" s="13">
        <f>VLOOKUP(A119,Table1[[#All],[Participant ID]:[Persona]],7,0)</f>
        <v/>
      </c>
      <c r="C119" s="15" t="inlineStr">
        <is>
          <t>2026-04-07T04:12:10</t>
        </is>
      </c>
      <c r="D119" s="13" t="inlineStr">
        <is>
          <t>P05</t>
        </is>
      </c>
      <c r="E119" s="13" t="inlineStr">
        <is>
          <t>Nannupalimpa_seg0235</t>
        </is>
      </c>
      <c r="F119" s="13" t="n">
        <v>4</v>
      </c>
      <c r="G119" s="13" t="inlineStr">
        <is>
          <t>audio/pairwise/Nannupalimpa_seg0235-baseline_20s.wav</t>
        </is>
      </c>
      <c r="H119" s="13" t="inlineStr">
        <is>
          <t>audio/pairwise/Nannupalimpa_seg0235-finetuned_20s.wav</t>
        </is>
      </c>
      <c r="I119" s="13" t="inlineStr">
        <is>
          <t>baseline</t>
        </is>
      </c>
      <c r="J119" s="13" t="inlineStr">
        <is>
          <t>finetuned</t>
        </is>
      </c>
      <c r="K119" s="13" t="inlineStr">
        <is>
          <t>A</t>
        </is>
      </c>
      <c r="L119" s="13" t="inlineStr">
        <is>
          <t>A</t>
        </is>
      </c>
      <c r="M119" s="13" t="inlineStr">
        <is>
          <t>A</t>
        </is>
      </c>
      <c r="N119" s="13">
        <f>IF(K119="A", I119, J119)</f>
        <v/>
      </c>
      <c r="O119" s="13">
        <f>IF(L119="A", I119, J119)</f>
        <v/>
      </c>
      <c r="P119" s="13">
        <f>IF(M119="A", I119, J119)</f>
        <v/>
      </c>
      <c r="Q119" s="13" t="n"/>
      <c r="R119" s="13" t="inlineStr">
        <is>
          <t>Percussion - Mirudhangam</t>
        </is>
      </c>
      <c r="S119" s="13" t="inlineStr">
        <is>
          <t>test</t>
        </is>
      </c>
      <c r="T119" s="13" t="n"/>
    </row>
    <row r="120" ht="15" customHeight="1">
      <c r="A120" s="13" t="inlineStr">
        <is>
          <t>PA6013AB</t>
        </is>
      </c>
      <c r="B120" s="13">
        <f>VLOOKUP(A120,Table1[[#All],[Participant ID]:[Persona]],7,0)</f>
        <v/>
      </c>
      <c r="C120" s="15" t="inlineStr">
        <is>
          <t>2026-04-07T04:12:10</t>
        </is>
      </c>
      <c r="D120" s="13" t="inlineStr">
        <is>
          <t>P03</t>
        </is>
      </c>
      <c r="E120" s="13" t="inlineStr">
        <is>
          <t>Ramanatham_Bhajeham_seg0029</t>
        </is>
      </c>
      <c r="F120" s="13" t="n">
        <v>5</v>
      </c>
      <c r="G120" s="13" t="inlineStr">
        <is>
          <t>audio/pairwise/Ramanatham_Bhajeham_seg0029-finetuned_20s.wav</t>
        </is>
      </c>
      <c r="H120" s="13" t="inlineStr">
        <is>
          <t>audio/pairwise/Ramanatham_Bhajeham_seg0029-baseline_20s.wav</t>
        </is>
      </c>
      <c r="I120" s="13" t="inlineStr">
        <is>
          <t>finetuned</t>
        </is>
      </c>
      <c r="J120" s="13" t="inlineStr">
        <is>
          <t>baseline</t>
        </is>
      </c>
      <c r="K120" s="13" t="inlineStr">
        <is>
          <t>B</t>
        </is>
      </c>
      <c r="L120" s="13" t="inlineStr">
        <is>
          <t>B</t>
        </is>
      </c>
      <c r="M120" s="13" t="inlineStr">
        <is>
          <t>B</t>
        </is>
      </c>
      <c r="N120" s="13">
        <f>IF(K120="A", I120, J120)</f>
        <v/>
      </c>
      <c r="O120" s="13">
        <f>IF(L120="A", I120, J120)</f>
        <v/>
      </c>
      <c r="P120" s="13">
        <f>IF(M120="A", I120, J120)</f>
        <v/>
      </c>
      <c r="Q120" s="13" t="n"/>
      <c r="R120" s="13" t="inlineStr">
        <is>
          <t>Vocal</t>
        </is>
      </c>
      <c r="S120" s="13" t="inlineStr">
        <is>
          <t>test</t>
        </is>
      </c>
      <c r="T120" s="13" t="n"/>
    </row>
    <row r="121" ht="15" customHeight="1">
      <c r="A121" s="13" t="inlineStr">
        <is>
          <t>PA6013AB</t>
        </is>
      </c>
      <c r="B121" s="13">
        <f>VLOOKUP(A121,Table1[[#All],[Participant ID]:[Persona]],7,0)</f>
        <v/>
      </c>
      <c r="C121" s="15" t="inlineStr">
        <is>
          <t>2026-04-07T04:12:10</t>
        </is>
      </c>
      <c r="D121" s="13" t="inlineStr">
        <is>
          <t>P04</t>
        </is>
      </c>
      <c r="E121" s="13" t="inlineStr">
        <is>
          <t>Deva_Deva_Jagadeesha_seg0006</t>
        </is>
      </c>
      <c r="F121" s="13" t="n">
        <v>6</v>
      </c>
      <c r="G121" s="13" t="inlineStr">
        <is>
          <t>audio/pairwise/Deva_Deva_Jagadeesha_seg0006-baseline_20s.wav</t>
        </is>
      </c>
      <c r="H121" s="13" t="inlineStr">
        <is>
          <t>audio/pairwise/Deva_Deva_Jagadeesha_seg0006-finetuned_20s.wav</t>
        </is>
      </c>
      <c r="I121" s="13" t="inlineStr">
        <is>
          <t>baseline</t>
        </is>
      </c>
      <c r="J121" s="13" t="inlineStr">
        <is>
          <t>finetuned</t>
        </is>
      </c>
      <c r="K121" s="13" t="inlineStr">
        <is>
          <t>B</t>
        </is>
      </c>
      <c r="L121" s="13" t="inlineStr">
        <is>
          <t>B</t>
        </is>
      </c>
      <c r="M121" s="13" t="inlineStr">
        <is>
          <t>B</t>
        </is>
      </c>
      <c r="N121" s="13">
        <f>IF(K121="A", I121, J121)</f>
        <v/>
      </c>
      <c r="O121" s="13">
        <f>IF(L121="A", I121, J121)</f>
        <v/>
      </c>
      <c r="P121" s="13">
        <f>IF(M121="A", I121, J121)</f>
        <v/>
      </c>
      <c r="Q121" s="13" t="n"/>
      <c r="R121" s="13" t="inlineStr">
        <is>
          <t>Instrumental - Violin</t>
        </is>
      </c>
      <c r="S121" s="13" t="inlineStr">
        <is>
          <t>test</t>
        </is>
      </c>
      <c r="T121" s="13" t="n"/>
    </row>
    <row r="122" ht="15" customHeight="1">
      <c r="A122" s="13" t="inlineStr">
        <is>
          <t>PAA717AA</t>
        </is>
      </c>
      <c r="B122" s="13">
        <f>VLOOKUP(A122,Table1[[#All],[Participant ID]:[Persona]],7,0)</f>
        <v/>
      </c>
      <c r="C122" s="15" t="inlineStr">
        <is>
          <t>2026-04-07T05:44:32</t>
        </is>
      </c>
      <c r="D122" s="13" t="inlineStr">
        <is>
          <t>P03</t>
        </is>
      </c>
      <c r="E122" s="13" t="inlineStr">
        <is>
          <t>Ramanatham_Bhajeham_seg0029</t>
        </is>
      </c>
      <c r="F122" s="13" t="n">
        <v>1</v>
      </c>
      <c r="G122" s="13" t="inlineStr">
        <is>
          <t>audio/pairwise/Ramanatham_Bhajeham_seg0029-baseline_20s.wav</t>
        </is>
      </c>
      <c r="H122" s="13" t="inlineStr">
        <is>
          <t>audio/pairwise/Ramanatham_Bhajeham_seg0029-finetuned_20s.wav</t>
        </is>
      </c>
      <c r="I122" s="13" t="inlineStr">
        <is>
          <t>baseline</t>
        </is>
      </c>
      <c r="J122" s="13" t="inlineStr">
        <is>
          <t>finetuned</t>
        </is>
      </c>
      <c r="K122" s="13" t="inlineStr">
        <is>
          <t>A</t>
        </is>
      </c>
      <c r="L122" s="13" t="inlineStr">
        <is>
          <t>A</t>
        </is>
      </c>
      <c r="M122" s="13" t="inlineStr">
        <is>
          <t>A</t>
        </is>
      </c>
      <c r="N122" s="13">
        <f>IF(K122="A", I122, J122)</f>
        <v/>
      </c>
      <c r="O122" s="13">
        <f>IF(L122="A", I122, J122)</f>
        <v/>
      </c>
      <c r="P122" s="13">
        <f>IF(M122="A", I122, J122)</f>
        <v/>
      </c>
      <c r="Q122" s="13" t="n"/>
      <c r="R122" s="13" t="inlineStr">
        <is>
          <t>Vocal</t>
        </is>
      </c>
      <c r="S122" s="13" t="inlineStr">
        <is>
          <t>test</t>
        </is>
      </c>
      <c r="T122" s="13" t="n"/>
    </row>
    <row r="123" ht="15" customHeight="1">
      <c r="A123" s="13" t="inlineStr">
        <is>
          <t>PAA717AA</t>
        </is>
      </c>
      <c r="B123" s="13">
        <f>VLOOKUP(A123,Table1[[#All],[Participant ID]:[Persona]],7,0)</f>
        <v/>
      </c>
      <c r="C123" s="15" t="inlineStr">
        <is>
          <t>2026-04-07T05:44:32</t>
        </is>
      </c>
      <c r="D123" s="13" t="inlineStr">
        <is>
          <t>P02</t>
        </is>
      </c>
      <c r="E123" s="13" t="inlineStr">
        <is>
          <t>Raksha_Bettare_seg0201</t>
        </is>
      </c>
      <c r="F123" s="13" t="n">
        <v>2</v>
      </c>
      <c r="G123" s="13" t="inlineStr">
        <is>
          <t>audio/pairwise/Raksha_Bettare_seg0201-baseline_20s.wav</t>
        </is>
      </c>
      <c r="H123" s="13" t="inlineStr">
        <is>
          <t>audio/pairwise/Raksha_Bettare_seg0201-finetuned_20s.wav</t>
        </is>
      </c>
      <c r="I123" s="13" t="inlineStr">
        <is>
          <t>baseline</t>
        </is>
      </c>
      <c r="J123" s="13" t="inlineStr">
        <is>
          <t>finetuned</t>
        </is>
      </c>
      <c r="K123" s="13" t="inlineStr">
        <is>
          <t>B</t>
        </is>
      </c>
      <c r="L123" s="13" t="inlineStr">
        <is>
          <t>B</t>
        </is>
      </c>
      <c r="M123" s="13" t="inlineStr">
        <is>
          <t>B</t>
        </is>
      </c>
      <c r="N123" s="13">
        <f>IF(K123="A", I123, J123)</f>
        <v/>
      </c>
      <c r="O123" s="13">
        <f>IF(L123="A", I123, J123)</f>
        <v/>
      </c>
      <c r="P123" s="13">
        <f>IF(M123="A", I123, J123)</f>
        <v/>
      </c>
      <c r="Q123" s="13" t="n"/>
      <c r="R123" s="13" t="inlineStr">
        <is>
          <t>Vocal</t>
        </is>
      </c>
      <c r="S123" s="13" t="inlineStr">
        <is>
          <t>test</t>
        </is>
      </c>
      <c r="T123" s="13" t="n"/>
    </row>
    <row r="124" ht="15" customHeight="1">
      <c r="A124" s="13" t="inlineStr">
        <is>
          <t>PAA717AA</t>
        </is>
      </c>
      <c r="B124" s="13">
        <f>VLOOKUP(A124,Table1[[#All],[Participant ID]:[Persona]],7,0)</f>
        <v/>
      </c>
      <c r="C124" s="15" t="inlineStr">
        <is>
          <t>2026-04-07T05:44:32</t>
        </is>
      </c>
      <c r="D124" s="13" t="inlineStr">
        <is>
          <t>P05</t>
        </is>
      </c>
      <c r="E124" s="13" t="inlineStr">
        <is>
          <t>Nannupalimpa_seg0235</t>
        </is>
      </c>
      <c r="F124" s="13" t="n">
        <v>3</v>
      </c>
      <c r="G124" s="13" t="inlineStr">
        <is>
          <t>audio/pairwise/Nannupalimpa_seg0235-baseline_20s.wav</t>
        </is>
      </c>
      <c r="H124" s="13" t="inlineStr">
        <is>
          <t>audio/pairwise/Nannupalimpa_seg0235-finetuned_20s.wav</t>
        </is>
      </c>
      <c r="I124" s="13" t="inlineStr">
        <is>
          <t>baseline</t>
        </is>
      </c>
      <c r="J124" s="13" t="inlineStr">
        <is>
          <t>finetuned</t>
        </is>
      </c>
      <c r="K124" s="13" t="inlineStr">
        <is>
          <t>B</t>
        </is>
      </c>
      <c r="L124" s="13" t="inlineStr">
        <is>
          <t>B</t>
        </is>
      </c>
      <c r="M124" s="13" t="inlineStr">
        <is>
          <t>B</t>
        </is>
      </c>
      <c r="N124" s="13">
        <f>IF(K124="A", I124, J124)</f>
        <v/>
      </c>
      <c r="O124" s="13">
        <f>IF(L124="A", I124, J124)</f>
        <v/>
      </c>
      <c r="P124" s="13">
        <f>IF(M124="A", I124, J124)</f>
        <v/>
      </c>
      <c r="Q124" s="13" t="n"/>
      <c r="R124" s="13" t="inlineStr">
        <is>
          <t>Percussion - Mirudhangam</t>
        </is>
      </c>
      <c r="S124" s="13" t="inlineStr">
        <is>
          <t>test</t>
        </is>
      </c>
      <c r="T124" s="13" t="n"/>
    </row>
    <row r="125" ht="15" customHeight="1">
      <c r="A125" s="13" t="inlineStr">
        <is>
          <t>PAA717AA</t>
        </is>
      </c>
      <c r="B125" s="13">
        <f>VLOOKUP(A125,Table1[[#All],[Participant ID]:[Persona]],7,0)</f>
        <v/>
      </c>
      <c r="C125" s="15" t="inlineStr">
        <is>
          <t>2026-04-07T05:44:32</t>
        </is>
      </c>
      <c r="D125" s="13" t="inlineStr">
        <is>
          <t>P04</t>
        </is>
      </c>
      <c r="E125" s="13" t="inlineStr">
        <is>
          <t>Deva_Deva_Jagadeesha_seg0006</t>
        </is>
      </c>
      <c r="F125" s="13" t="n">
        <v>4</v>
      </c>
      <c r="G125" s="13" t="inlineStr">
        <is>
          <t>audio/pairwise/Deva_Deva_Jagadeesha_seg0006-finetuned_20s.wav</t>
        </is>
      </c>
      <c r="H125" s="13" t="inlineStr">
        <is>
          <t>audio/pairwise/Deva_Deva_Jagadeesha_seg0006-baseline_20s.wav</t>
        </is>
      </c>
      <c r="I125" s="13" t="inlineStr">
        <is>
          <t>finetuned</t>
        </is>
      </c>
      <c r="J125" s="13" t="inlineStr">
        <is>
          <t>baseline</t>
        </is>
      </c>
      <c r="K125" s="13" t="inlineStr">
        <is>
          <t>A</t>
        </is>
      </c>
      <c r="L125" s="13" t="inlineStr">
        <is>
          <t>A</t>
        </is>
      </c>
      <c r="M125" s="13" t="inlineStr">
        <is>
          <t>A</t>
        </is>
      </c>
      <c r="N125" s="13">
        <f>IF(K125="A", I125, J125)</f>
        <v/>
      </c>
      <c r="O125" s="13">
        <f>IF(L125="A", I125, J125)</f>
        <v/>
      </c>
      <c r="P125" s="13">
        <f>IF(M125="A", I125, J125)</f>
        <v/>
      </c>
      <c r="Q125" s="13" t="n"/>
      <c r="R125" s="13" t="inlineStr">
        <is>
          <t>Instrumental - Violin</t>
        </is>
      </c>
      <c r="S125" s="13" t="inlineStr">
        <is>
          <t>test</t>
        </is>
      </c>
      <c r="T125" s="13" t="n"/>
    </row>
    <row r="126" ht="15" customHeight="1">
      <c r="A126" s="13" t="inlineStr">
        <is>
          <t>PAA717AA</t>
        </is>
      </c>
      <c r="B126" s="13">
        <f>VLOOKUP(A126,Table1[[#All],[Participant ID]:[Persona]],7,0)</f>
        <v/>
      </c>
      <c r="C126" s="15" t="inlineStr">
        <is>
          <t>2026-04-07T05:44:32</t>
        </is>
      </c>
      <c r="D126" s="13" t="inlineStr">
        <is>
          <t>P06</t>
        </is>
      </c>
      <c r="E126" s="13" t="inlineStr">
        <is>
          <t>Seshachala_Nayakam_seg0142</t>
        </is>
      </c>
      <c r="F126" s="13" t="n">
        <v>5</v>
      </c>
      <c r="G126" s="13" t="inlineStr">
        <is>
          <t>audio/pairwise/Seshachala_Nayakam_seg0142-finetuned_20s.wav</t>
        </is>
      </c>
      <c r="H126" s="13" t="inlineStr">
        <is>
          <t>audio/pairwise/Seshachala_Nayakam_seg0142-baseline_20s.wav</t>
        </is>
      </c>
      <c r="I126" s="13" t="inlineStr">
        <is>
          <t>finetuned</t>
        </is>
      </c>
      <c r="J126" s="13" t="inlineStr">
        <is>
          <t>baseline</t>
        </is>
      </c>
      <c r="K126" s="13" t="inlineStr">
        <is>
          <t>A</t>
        </is>
      </c>
      <c r="L126" s="13" t="inlineStr">
        <is>
          <t>A</t>
        </is>
      </c>
      <c r="M126" s="13" t="inlineStr">
        <is>
          <t>A</t>
        </is>
      </c>
      <c r="N126" s="13">
        <f>IF(K126="A", I126, J126)</f>
        <v/>
      </c>
      <c r="O126" s="13">
        <f>IF(L126="A", I126, J126)</f>
        <v/>
      </c>
      <c r="P126" s="13">
        <f>IF(M126="A", I126, J126)</f>
        <v/>
      </c>
      <c r="Q126" s="13" t="n"/>
      <c r="R126" s="13" t="inlineStr">
        <is>
          <t>Instrumental - Violin</t>
        </is>
      </c>
      <c r="S126" s="13" t="inlineStr">
        <is>
          <t>test</t>
        </is>
      </c>
      <c r="T126" s="13" t="n"/>
    </row>
    <row r="127" ht="15" customHeight="1">
      <c r="A127" s="13" t="inlineStr">
        <is>
          <t>PAA717AA</t>
        </is>
      </c>
      <c r="B127" s="13">
        <f>VLOOKUP(A127,Table1[[#All],[Participant ID]:[Persona]],7,0)</f>
        <v/>
      </c>
      <c r="C127" s="15" t="inlineStr">
        <is>
          <t>2026-04-07T05:44:32</t>
        </is>
      </c>
      <c r="D127" s="13" t="inlineStr">
        <is>
          <t>P01</t>
        </is>
      </c>
      <c r="E127" s="13" t="inlineStr">
        <is>
          <t>Karpagambike_seg0044</t>
        </is>
      </c>
      <c r="F127" s="13" t="n">
        <v>6</v>
      </c>
      <c r="G127" s="13" t="inlineStr">
        <is>
          <t>audio/pairwise/Karpagambike_seg0044-finetuned_20s.wav</t>
        </is>
      </c>
      <c r="H127" s="13" t="inlineStr">
        <is>
          <t>audio/pairwise/Karpagambike_seg0044-baseline_20s.wav</t>
        </is>
      </c>
      <c r="I127" s="13" t="inlineStr">
        <is>
          <t>finetuned</t>
        </is>
      </c>
      <c r="J127" s="13" t="inlineStr">
        <is>
          <t>baseline</t>
        </is>
      </c>
      <c r="K127" s="13" t="inlineStr">
        <is>
          <t>A</t>
        </is>
      </c>
      <c r="L127" s="13" t="inlineStr">
        <is>
          <t>A</t>
        </is>
      </c>
      <c r="M127" s="13" t="inlineStr">
        <is>
          <t>A</t>
        </is>
      </c>
      <c r="N127" s="13">
        <f>IF(K127="A", I127, J127)</f>
        <v/>
      </c>
      <c r="O127" s="13">
        <f>IF(L127="A", I127, J127)</f>
        <v/>
      </c>
      <c r="P127" s="13">
        <f>IF(M127="A", I127, J127)</f>
        <v/>
      </c>
      <c r="Q127" s="13" t="n"/>
      <c r="R127" s="13" t="inlineStr">
        <is>
          <t>Vocal</t>
        </is>
      </c>
      <c r="S127" s="13" t="inlineStr">
        <is>
          <t>test</t>
        </is>
      </c>
      <c r="T127" s="13" t="n"/>
    </row>
    <row r="128" ht="15" customHeight="1">
      <c r="A128" s="13" t="inlineStr">
        <is>
          <t>PA39F3AA</t>
        </is>
      </c>
      <c r="B128" s="13">
        <f>VLOOKUP(A128,Table1[[#All],[Participant ID]:[Persona]],7,0)</f>
        <v/>
      </c>
      <c r="C128" s="15" t="inlineStr">
        <is>
          <t>2026-04-08T07:24:19</t>
        </is>
      </c>
      <c r="D128" s="13" t="inlineStr">
        <is>
          <t>P05</t>
        </is>
      </c>
      <c r="E128" s="13" t="inlineStr">
        <is>
          <t>Nannupalimpa_seg0235</t>
        </is>
      </c>
      <c r="F128" s="13" t="n">
        <v>1</v>
      </c>
      <c r="G128" s="13" t="inlineStr">
        <is>
          <t>audio/pairwise/Nannupalimpa_seg0235-finetuned_20s.wav</t>
        </is>
      </c>
      <c r="H128" s="13" t="inlineStr">
        <is>
          <t>audio/pairwise/Nannupalimpa_seg0235-baseline_20s.wav</t>
        </is>
      </c>
      <c r="I128" s="13" t="inlineStr">
        <is>
          <t>finetuned</t>
        </is>
      </c>
      <c r="J128" s="13" t="inlineStr">
        <is>
          <t>baseline</t>
        </is>
      </c>
      <c r="K128" s="13" t="inlineStr">
        <is>
          <t>B</t>
        </is>
      </c>
      <c r="L128" s="13" t="inlineStr">
        <is>
          <t>A</t>
        </is>
      </c>
      <c r="M128" s="13" t="inlineStr">
        <is>
          <t>B</t>
        </is>
      </c>
      <c r="N128" s="13">
        <f>IF(K128="A", I128, J128)</f>
        <v/>
      </c>
      <c r="O128" s="13">
        <f>IF(L128="A", I128, J128)</f>
        <v/>
      </c>
      <c r="P128" s="13">
        <f>IF(M128="A", I128, J128)</f>
        <v/>
      </c>
      <c r="Q128" s="13" t="n"/>
      <c r="R128" s="13" t="inlineStr">
        <is>
          <t>Percussion - Mirudhangam</t>
        </is>
      </c>
      <c r="S128" s="13" t="inlineStr">
        <is>
          <t>test</t>
        </is>
      </c>
      <c r="T128" s="13" t="n"/>
    </row>
    <row r="129" ht="15" customHeight="1">
      <c r="A129" s="13" t="inlineStr">
        <is>
          <t>PA39F3AA</t>
        </is>
      </c>
      <c r="B129" s="13">
        <f>VLOOKUP(A129,Table1[[#All],[Participant ID]:[Persona]],7,0)</f>
        <v/>
      </c>
      <c r="C129" s="15" t="inlineStr">
        <is>
          <t>2026-04-08T07:24:19</t>
        </is>
      </c>
      <c r="D129" s="13" t="inlineStr">
        <is>
          <t>P04</t>
        </is>
      </c>
      <c r="E129" s="13" t="inlineStr">
        <is>
          <t>Deva_Deva_Jagadeesha_seg0006</t>
        </is>
      </c>
      <c r="F129" s="13" t="n">
        <v>2</v>
      </c>
      <c r="G129" s="13" t="inlineStr">
        <is>
          <t>audio/pairwise/Deva_Deva_Jagadeesha_seg0006-baseline_20s.wav</t>
        </is>
      </c>
      <c r="H129" s="13" t="inlineStr">
        <is>
          <t>audio/pairwise/Deva_Deva_Jagadeesha_seg0006-finetuned_20s.wav</t>
        </is>
      </c>
      <c r="I129" s="13" t="inlineStr">
        <is>
          <t>baseline</t>
        </is>
      </c>
      <c r="J129" s="13" t="inlineStr">
        <is>
          <t>finetuned</t>
        </is>
      </c>
      <c r="K129" s="13" t="inlineStr">
        <is>
          <t>B</t>
        </is>
      </c>
      <c r="L129" s="13" t="inlineStr">
        <is>
          <t>B</t>
        </is>
      </c>
      <c r="M129" s="13" t="inlineStr">
        <is>
          <t>A</t>
        </is>
      </c>
      <c r="N129" s="13">
        <f>IF(K129="A", I129, J129)</f>
        <v/>
      </c>
      <c r="O129" s="13">
        <f>IF(L129="A", I129, J129)</f>
        <v/>
      </c>
      <c r="P129" s="13">
        <f>IF(M129="A", I129, J129)</f>
        <v/>
      </c>
      <c r="Q129" s="13" t="n"/>
      <c r="R129" s="13" t="inlineStr">
        <is>
          <t>Instrumental - Violin</t>
        </is>
      </c>
      <c r="S129" s="13" t="inlineStr">
        <is>
          <t>test</t>
        </is>
      </c>
      <c r="T129" s="13" t="n"/>
    </row>
    <row r="130" ht="15" customHeight="1">
      <c r="A130" s="13" t="inlineStr">
        <is>
          <t>PA39F3AA</t>
        </is>
      </c>
      <c r="B130" s="13">
        <f>VLOOKUP(A130,Table1[[#All],[Participant ID]:[Persona]],7,0)</f>
        <v/>
      </c>
      <c r="C130" s="15" t="inlineStr">
        <is>
          <t>2026-04-08T07:24:19</t>
        </is>
      </c>
      <c r="D130" s="13" t="inlineStr">
        <is>
          <t>P01</t>
        </is>
      </c>
      <c r="E130" s="13" t="inlineStr">
        <is>
          <t>Karpagambike_seg0044</t>
        </is>
      </c>
      <c r="F130" s="13" t="n">
        <v>3</v>
      </c>
      <c r="G130" s="13" t="inlineStr">
        <is>
          <t>audio/pairwise/Karpagambike_seg0044-baseline_20s.wav</t>
        </is>
      </c>
      <c r="H130" s="13" t="inlineStr">
        <is>
          <t>audio/pairwise/Karpagambike_seg0044-finetuned_20s.wav</t>
        </is>
      </c>
      <c r="I130" s="13" t="inlineStr">
        <is>
          <t>baseline</t>
        </is>
      </c>
      <c r="J130" s="13" t="inlineStr">
        <is>
          <t>finetuned</t>
        </is>
      </c>
      <c r="K130" s="13" t="inlineStr">
        <is>
          <t>A</t>
        </is>
      </c>
      <c r="L130" s="13" t="inlineStr">
        <is>
          <t>A</t>
        </is>
      </c>
      <c r="M130" s="13" t="inlineStr">
        <is>
          <t>A</t>
        </is>
      </c>
      <c r="N130" s="13">
        <f>IF(K130="A", I130, J130)</f>
        <v/>
      </c>
      <c r="O130" s="13">
        <f>IF(L130="A", I130, J130)</f>
        <v/>
      </c>
      <c r="P130" s="13">
        <f>IF(M130="A", I130, J130)</f>
        <v/>
      </c>
      <c r="Q130" s="13" t="n"/>
      <c r="R130" s="13" t="inlineStr">
        <is>
          <t>Vocal</t>
        </is>
      </c>
      <c r="S130" s="13" t="inlineStr">
        <is>
          <t>test</t>
        </is>
      </c>
      <c r="T130" s="13" t="n"/>
    </row>
    <row r="131" ht="15" customHeight="1">
      <c r="A131" s="13" t="inlineStr">
        <is>
          <t>PA39F3AA</t>
        </is>
      </c>
      <c r="B131" s="13">
        <f>VLOOKUP(A131,Table1[[#All],[Participant ID]:[Persona]],7,0)</f>
        <v/>
      </c>
      <c r="C131" s="15" t="inlineStr">
        <is>
          <t>2026-04-08T07:24:19</t>
        </is>
      </c>
      <c r="D131" s="13" t="inlineStr">
        <is>
          <t>P03</t>
        </is>
      </c>
      <c r="E131" s="13" t="inlineStr">
        <is>
          <t>Ramanatham_Bhajeham_seg0029</t>
        </is>
      </c>
      <c r="F131" s="13" t="n">
        <v>4</v>
      </c>
      <c r="G131" s="13" t="inlineStr">
        <is>
          <t>audio/pairwise/Ramanatham_Bhajeham_seg0029-baseline_20s.wav</t>
        </is>
      </c>
      <c r="H131" s="13" t="inlineStr">
        <is>
          <t>audio/pairwise/Ramanatham_Bhajeham_seg0029-finetuned_20s.wav</t>
        </is>
      </c>
      <c r="I131" s="13" t="inlineStr">
        <is>
          <t>baseline</t>
        </is>
      </c>
      <c r="J131" s="13" t="inlineStr">
        <is>
          <t>finetuned</t>
        </is>
      </c>
      <c r="K131" s="13" t="inlineStr">
        <is>
          <t>B</t>
        </is>
      </c>
      <c r="L131" s="13" t="inlineStr">
        <is>
          <t>A</t>
        </is>
      </c>
      <c r="M131" s="13" t="inlineStr">
        <is>
          <t>A</t>
        </is>
      </c>
      <c r="N131" s="13">
        <f>IF(K131="A", I131, J131)</f>
        <v/>
      </c>
      <c r="O131" s="13">
        <f>IF(L131="A", I131, J131)</f>
        <v/>
      </c>
      <c r="P131" s="13">
        <f>IF(M131="A", I131, J131)</f>
        <v/>
      </c>
      <c r="Q131" s="13" t="n"/>
      <c r="R131" s="13" t="inlineStr">
        <is>
          <t>Vocal</t>
        </is>
      </c>
      <c r="S131" s="13" t="inlineStr">
        <is>
          <t>test</t>
        </is>
      </c>
      <c r="T131" s="13" t="n"/>
    </row>
    <row r="132" ht="15" customHeight="1">
      <c r="A132" s="13" t="inlineStr">
        <is>
          <t>PA39F3AA</t>
        </is>
      </c>
      <c r="B132" s="13">
        <f>VLOOKUP(A132,Table1[[#All],[Participant ID]:[Persona]],7,0)</f>
        <v/>
      </c>
      <c r="C132" s="15" t="inlineStr">
        <is>
          <t>2026-04-08T07:24:19</t>
        </is>
      </c>
      <c r="D132" s="13" t="inlineStr">
        <is>
          <t>P06</t>
        </is>
      </c>
      <c r="E132" s="13" t="inlineStr">
        <is>
          <t>Seshachala_Nayakam_seg0142</t>
        </is>
      </c>
      <c r="F132" s="13" t="n">
        <v>5</v>
      </c>
      <c r="G132" s="13" t="inlineStr">
        <is>
          <t>audio/pairwise/Seshachala_Nayakam_seg0142-finetuned_20s.wav</t>
        </is>
      </c>
      <c r="H132" s="13" t="inlineStr">
        <is>
          <t>audio/pairwise/Seshachala_Nayakam_seg0142-baseline_20s.wav</t>
        </is>
      </c>
      <c r="I132" s="13" t="inlineStr">
        <is>
          <t>finetuned</t>
        </is>
      </c>
      <c r="J132" s="13" t="inlineStr">
        <is>
          <t>baseline</t>
        </is>
      </c>
      <c r="K132" s="13" t="inlineStr">
        <is>
          <t>A</t>
        </is>
      </c>
      <c r="L132" s="13" t="inlineStr">
        <is>
          <t>B</t>
        </is>
      </c>
      <c r="M132" s="13" t="inlineStr">
        <is>
          <t>A</t>
        </is>
      </c>
      <c r="N132" s="13">
        <f>IF(K132="A", I132, J132)</f>
        <v/>
      </c>
      <c r="O132" s="13">
        <f>IF(L132="A", I132, J132)</f>
        <v/>
      </c>
      <c r="P132" s="13">
        <f>IF(M132="A", I132, J132)</f>
        <v/>
      </c>
      <c r="Q132" s="13" t="n"/>
      <c r="R132" s="13" t="inlineStr">
        <is>
          <t>Instrumental - Violin</t>
        </is>
      </c>
      <c r="S132" s="13" t="inlineStr">
        <is>
          <t>test</t>
        </is>
      </c>
      <c r="T132" s="13" t="n"/>
    </row>
    <row r="133" ht="15" customHeight="1">
      <c r="A133" s="13" t="inlineStr">
        <is>
          <t>PA39F3AA</t>
        </is>
      </c>
      <c r="B133" s="13">
        <f>VLOOKUP(A133,Table1[[#All],[Participant ID]:[Persona]],7,0)</f>
        <v/>
      </c>
      <c r="C133" s="15" t="inlineStr">
        <is>
          <t>2026-04-08T07:24:19</t>
        </is>
      </c>
      <c r="D133" s="13" t="inlineStr">
        <is>
          <t>P02</t>
        </is>
      </c>
      <c r="E133" s="13" t="inlineStr">
        <is>
          <t>Raksha_Bettare_seg0201</t>
        </is>
      </c>
      <c r="F133" s="13" t="n">
        <v>6</v>
      </c>
      <c r="G133" s="13" t="inlineStr">
        <is>
          <t>audio/pairwise/Raksha_Bettare_seg0201-finetuned_20s.wav</t>
        </is>
      </c>
      <c r="H133" s="13" t="inlineStr">
        <is>
          <t>audio/pairwise/Raksha_Bettare_seg0201-baseline_20s.wav</t>
        </is>
      </c>
      <c r="I133" s="13" t="inlineStr">
        <is>
          <t>finetuned</t>
        </is>
      </c>
      <c r="J133" s="13" t="inlineStr">
        <is>
          <t>baseline</t>
        </is>
      </c>
      <c r="K133" s="13" t="inlineStr">
        <is>
          <t>B</t>
        </is>
      </c>
      <c r="L133" s="13" t="inlineStr">
        <is>
          <t>B</t>
        </is>
      </c>
      <c r="M133" s="13" t="inlineStr">
        <is>
          <t>A</t>
        </is>
      </c>
      <c r="N133" s="13">
        <f>IF(K133="A", I133, J133)</f>
        <v/>
      </c>
      <c r="O133" s="13">
        <f>IF(L133="A", I133, J133)</f>
        <v/>
      </c>
      <c r="P133" s="13">
        <f>IF(M133="A", I133, J133)</f>
        <v/>
      </c>
      <c r="Q133" s="13" t="n"/>
      <c r="R133" s="13" t="inlineStr">
        <is>
          <t>Vocal</t>
        </is>
      </c>
      <c r="S133" s="13" t="inlineStr">
        <is>
          <t>test</t>
        </is>
      </c>
      <c r="T133" s="13" t="n"/>
    </row>
    <row r="134" ht="15" customHeight="1">
      <c r="A134" s="13" t="inlineStr">
        <is>
          <t>PA9400CD</t>
        </is>
      </c>
      <c r="B134" s="13">
        <f>VLOOKUP(A134,Table1[[#All],[Participant ID]:[Persona]],7,0)</f>
        <v/>
      </c>
      <c r="C134" s="15" t="inlineStr">
        <is>
          <t>2026-04-08T09:08:36</t>
        </is>
      </c>
      <c r="D134" s="13" t="inlineStr">
        <is>
          <t>P06</t>
        </is>
      </c>
      <c r="E134" s="13" t="inlineStr">
        <is>
          <t>Seshachala_Nayakam_seg0142</t>
        </is>
      </c>
      <c r="F134" s="13" t="n">
        <v>1</v>
      </c>
      <c r="G134" s="13" t="inlineStr">
        <is>
          <t>audio/pairwise/Seshachala_Nayakam_seg0142-finetuned_20s.wav</t>
        </is>
      </c>
      <c r="H134" s="13" t="inlineStr">
        <is>
          <t>audio/pairwise/Seshachala_Nayakam_seg0142-baseline_20s.wav</t>
        </is>
      </c>
      <c r="I134" s="13" t="inlineStr">
        <is>
          <t>finetuned</t>
        </is>
      </c>
      <c r="J134" s="13" t="inlineStr">
        <is>
          <t>baseline</t>
        </is>
      </c>
      <c r="K134" s="13" t="inlineStr">
        <is>
          <t>A</t>
        </is>
      </c>
      <c r="L134" s="13" t="inlineStr">
        <is>
          <t>A</t>
        </is>
      </c>
      <c r="M134" s="13" t="inlineStr">
        <is>
          <t>A</t>
        </is>
      </c>
      <c r="N134" s="13">
        <f>IF(K134="A", I134, J134)</f>
        <v/>
      </c>
      <c r="O134" s="13">
        <f>IF(L134="A", I134, J134)</f>
        <v/>
      </c>
      <c r="P134" s="13">
        <f>IF(M134="A", I134, J134)</f>
        <v/>
      </c>
      <c r="Q134" s="13" t="n"/>
      <c r="R134" s="13" t="inlineStr">
        <is>
          <t>Instrumental - Violin</t>
        </is>
      </c>
      <c r="S134" s="13" t="inlineStr">
        <is>
          <t>test</t>
        </is>
      </c>
      <c r="T134" s="13" t="n"/>
    </row>
    <row r="135" ht="15" customHeight="1">
      <c r="A135" s="13" t="inlineStr">
        <is>
          <t>PA9400CD</t>
        </is>
      </c>
      <c r="B135" s="13">
        <f>VLOOKUP(A135,Table1[[#All],[Participant ID]:[Persona]],7,0)</f>
        <v/>
      </c>
      <c r="C135" s="15" t="inlineStr">
        <is>
          <t>2026-04-08T09:08:36</t>
        </is>
      </c>
      <c r="D135" s="13" t="inlineStr">
        <is>
          <t>P05</t>
        </is>
      </c>
      <c r="E135" s="13" t="inlineStr">
        <is>
          <t>Nannupalimpa_seg0235</t>
        </is>
      </c>
      <c r="F135" s="13" t="n">
        <v>2</v>
      </c>
      <c r="G135" s="13" t="inlineStr">
        <is>
          <t>audio/pairwise/Nannupalimpa_seg0235-baseline_20s.wav</t>
        </is>
      </c>
      <c r="H135" s="13" t="inlineStr">
        <is>
          <t>audio/pairwise/Nannupalimpa_seg0235-finetuned_20s.wav</t>
        </is>
      </c>
      <c r="I135" s="13" t="inlineStr">
        <is>
          <t>baseline</t>
        </is>
      </c>
      <c r="J135" s="13" t="inlineStr">
        <is>
          <t>finetuned</t>
        </is>
      </c>
      <c r="K135" s="13" t="inlineStr">
        <is>
          <t>B</t>
        </is>
      </c>
      <c r="L135" s="13" t="inlineStr">
        <is>
          <t>B</t>
        </is>
      </c>
      <c r="M135" s="13" t="inlineStr">
        <is>
          <t>B</t>
        </is>
      </c>
      <c r="N135" s="13">
        <f>IF(K135="A", I135, J135)</f>
        <v/>
      </c>
      <c r="O135" s="13">
        <f>IF(L135="A", I135, J135)</f>
        <v/>
      </c>
      <c r="P135" s="13">
        <f>IF(M135="A", I135, J135)</f>
        <v/>
      </c>
      <c r="Q135" s="13" t="n"/>
      <c r="R135" s="13" t="inlineStr">
        <is>
          <t>Percussion - Mirudhangam</t>
        </is>
      </c>
      <c r="S135" s="13" t="inlineStr">
        <is>
          <t>test</t>
        </is>
      </c>
      <c r="T135" s="13" t="n"/>
    </row>
    <row r="136" ht="15" customHeight="1">
      <c r="A136" s="13" t="inlineStr">
        <is>
          <t>PA9400CD</t>
        </is>
      </c>
      <c r="B136" s="13">
        <f>VLOOKUP(A136,Table1[[#All],[Participant ID]:[Persona]],7,0)</f>
        <v/>
      </c>
      <c r="C136" s="15" t="inlineStr">
        <is>
          <t>2026-04-08T09:08:36</t>
        </is>
      </c>
      <c r="D136" s="13" t="inlineStr">
        <is>
          <t>P01</t>
        </is>
      </c>
      <c r="E136" s="13" t="inlineStr">
        <is>
          <t>Karpagambike_seg0044</t>
        </is>
      </c>
      <c r="F136" s="13" t="n">
        <v>3</v>
      </c>
      <c r="G136" s="13" t="inlineStr">
        <is>
          <t>audio/pairwise/Karpagambike_seg0044-finetuned_20s.wav</t>
        </is>
      </c>
      <c r="H136" s="13" t="inlineStr">
        <is>
          <t>audio/pairwise/Karpagambike_seg0044-baseline_20s.wav</t>
        </is>
      </c>
      <c r="I136" s="13" t="inlineStr">
        <is>
          <t>finetuned</t>
        </is>
      </c>
      <c r="J136" s="13" t="inlineStr">
        <is>
          <t>baseline</t>
        </is>
      </c>
      <c r="K136" s="13" t="inlineStr">
        <is>
          <t>B</t>
        </is>
      </c>
      <c r="L136" s="13" t="inlineStr">
        <is>
          <t>B</t>
        </is>
      </c>
      <c r="M136" s="13" t="inlineStr">
        <is>
          <t>B</t>
        </is>
      </c>
      <c r="N136" s="13">
        <f>IF(K136="A", I136, J136)</f>
        <v/>
      </c>
      <c r="O136" s="13">
        <f>IF(L136="A", I136, J136)</f>
        <v/>
      </c>
      <c r="P136" s="13">
        <f>IF(M136="A", I136, J136)</f>
        <v/>
      </c>
      <c r="Q136" s="13" t="n"/>
      <c r="R136" s="13" t="inlineStr">
        <is>
          <t>Vocal</t>
        </is>
      </c>
      <c r="S136" s="13" t="inlineStr">
        <is>
          <t>test</t>
        </is>
      </c>
      <c r="T136" s="13" t="n"/>
    </row>
    <row r="137" ht="15" customHeight="1">
      <c r="A137" s="13" t="inlineStr">
        <is>
          <t>PA9400CD</t>
        </is>
      </c>
      <c r="B137" s="13">
        <f>VLOOKUP(A137,Table1[[#All],[Participant ID]:[Persona]],7,0)</f>
        <v/>
      </c>
      <c r="C137" s="15" t="inlineStr">
        <is>
          <t>2026-04-08T09:08:36</t>
        </is>
      </c>
      <c r="D137" s="13" t="inlineStr">
        <is>
          <t>P03</t>
        </is>
      </c>
      <c r="E137" s="13" t="inlineStr">
        <is>
          <t>Ramanatham_Bhajeham_seg0029</t>
        </is>
      </c>
      <c r="F137" s="13" t="n">
        <v>4</v>
      </c>
      <c r="G137" s="13" t="inlineStr">
        <is>
          <t>audio/pairwise/Ramanatham_Bhajeham_seg0029-baseline_20s.wav</t>
        </is>
      </c>
      <c r="H137" s="13" t="inlineStr">
        <is>
          <t>audio/pairwise/Ramanatham_Bhajeham_seg0029-finetuned_20s.wav</t>
        </is>
      </c>
      <c r="I137" s="13" t="inlineStr">
        <is>
          <t>baseline</t>
        </is>
      </c>
      <c r="J137" s="13" t="inlineStr">
        <is>
          <t>finetuned</t>
        </is>
      </c>
      <c r="K137" s="13" t="inlineStr">
        <is>
          <t>B</t>
        </is>
      </c>
      <c r="L137" s="13" t="inlineStr">
        <is>
          <t>B</t>
        </is>
      </c>
      <c r="M137" s="13" t="inlineStr">
        <is>
          <t>B</t>
        </is>
      </c>
      <c r="N137" s="13">
        <f>IF(K137="A", I137, J137)</f>
        <v/>
      </c>
      <c r="O137" s="13">
        <f>IF(L137="A", I137, J137)</f>
        <v/>
      </c>
      <c r="P137" s="13">
        <f>IF(M137="A", I137, J137)</f>
        <v/>
      </c>
      <c r="Q137" s="13" t="n"/>
      <c r="R137" s="13" t="inlineStr">
        <is>
          <t>Vocal</t>
        </is>
      </c>
      <c r="S137" s="13" t="inlineStr">
        <is>
          <t>test</t>
        </is>
      </c>
      <c r="T137" s="13" t="n"/>
    </row>
    <row r="138" ht="15" customHeight="1">
      <c r="A138" s="13" t="inlineStr">
        <is>
          <t>PA9400CD</t>
        </is>
      </c>
      <c r="B138" s="13">
        <f>VLOOKUP(A138,Table1[[#All],[Participant ID]:[Persona]],7,0)</f>
        <v/>
      </c>
      <c r="C138" s="15" t="inlineStr">
        <is>
          <t>2026-04-08T09:08:36</t>
        </is>
      </c>
      <c r="D138" s="13" t="inlineStr">
        <is>
          <t>P02</t>
        </is>
      </c>
      <c r="E138" s="13" t="inlineStr">
        <is>
          <t>Raksha_Bettare_seg0201</t>
        </is>
      </c>
      <c r="F138" s="13" t="n">
        <v>5</v>
      </c>
      <c r="G138" s="13" t="inlineStr">
        <is>
          <t>audio/pairwise/Raksha_Bettare_seg0201-baseline_20s.wav</t>
        </is>
      </c>
      <c r="H138" s="13" t="inlineStr">
        <is>
          <t>audio/pairwise/Raksha_Bettare_seg0201-finetuned_20s.wav</t>
        </is>
      </c>
      <c r="I138" s="13" t="inlineStr">
        <is>
          <t>baseline</t>
        </is>
      </c>
      <c r="J138" s="13" t="inlineStr">
        <is>
          <t>finetuned</t>
        </is>
      </c>
      <c r="K138" s="13" t="inlineStr">
        <is>
          <t>A</t>
        </is>
      </c>
      <c r="L138" s="13" t="inlineStr">
        <is>
          <t>A</t>
        </is>
      </c>
      <c r="M138" s="13" t="inlineStr">
        <is>
          <t>A</t>
        </is>
      </c>
      <c r="N138" s="13">
        <f>IF(K138="A", I138, J138)</f>
        <v/>
      </c>
      <c r="O138" s="13">
        <f>IF(L138="A", I138, J138)</f>
        <v/>
      </c>
      <c r="P138" s="13">
        <f>IF(M138="A", I138, J138)</f>
        <v/>
      </c>
      <c r="Q138" s="13" t="n"/>
      <c r="R138" s="13" t="inlineStr">
        <is>
          <t>Vocal</t>
        </is>
      </c>
      <c r="S138" s="13" t="inlineStr">
        <is>
          <t>test</t>
        </is>
      </c>
      <c r="T138" s="13" t="n"/>
    </row>
    <row r="139" ht="15" customHeight="1">
      <c r="A139" s="13" t="inlineStr">
        <is>
          <t>PA9400CD</t>
        </is>
      </c>
      <c r="B139" s="13">
        <f>VLOOKUP(A139,Table1[[#All],[Participant ID]:[Persona]],7,0)</f>
        <v/>
      </c>
      <c r="C139" s="15" t="inlineStr">
        <is>
          <t>2026-04-08T09:08:36</t>
        </is>
      </c>
      <c r="D139" s="13" t="inlineStr">
        <is>
          <t>P04</t>
        </is>
      </c>
      <c r="E139" s="13" t="inlineStr">
        <is>
          <t>Deva_Deva_Jagadeesha_seg0006</t>
        </is>
      </c>
      <c r="F139" s="13" t="n">
        <v>6</v>
      </c>
      <c r="G139" s="13" t="inlineStr">
        <is>
          <t>audio/pairwise/Deva_Deva_Jagadeesha_seg0006-finetuned_20s.wav</t>
        </is>
      </c>
      <c r="H139" s="13" t="inlineStr">
        <is>
          <t>audio/pairwise/Deva_Deva_Jagadeesha_seg0006-baseline_20s.wav</t>
        </is>
      </c>
      <c r="I139" s="13" t="inlineStr">
        <is>
          <t>finetuned</t>
        </is>
      </c>
      <c r="J139" s="13" t="inlineStr">
        <is>
          <t>baseline</t>
        </is>
      </c>
      <c r="K139" s="13" t="inlineStr">
        <is>
          <t>A</t>
        </is>
      </c>
      <c r="L139" s="13" t="inlineStr">
        <is>
          <t>A</t>
        </is>
      </c>
      <c r="M139" s="13" t="inlineStr">
        <is>
          <t>A</t>
        </is>
      </c>
      <c r="N139" s="13">
        <f>IF(K139="A", I139, J139)</f>
        <v/>
      </c>
      <c r="O139" s="13">
        <f>IF(L139="A", I139, J139)</f>
        <v/>
      </c>
      <c r="P139" s="13">
        <f>IF(M139="A", I139, J139)</f>
        <v/>
      </c>
      <c r="Q139" s="13" t="n"/>
      <c r="R139" s="13" t="inlineStr">
        <is>
          <t>Instrumental - Violin</t>
        </is>
      </c>
      <c r="S139" s="13" t="inlineStr">
        <is>
          <t>test</t>
        </is>
      </c>
      <c r="T139" s="13" t="n"/>
    </row>
    <row r="140" ht="15" customHeight="1">
      <c r="A140" s="13" t="inlineStr">
        <is>
          <t>PABE392B</t>
        </is>
      </c>
      <c r="B140" s="13">
        <f>VLOOKUP(A140,Table1[[#All],[Participant ID]:[Persona]],7,0)</f>
        <v/>
      </c>
      <c r="C140" s="15" t="inlineStr">
        <is>
          <t>2026-04-08T14:06:43</t>
        </is>
      </c>
      <c r="D140" s="13" t="inlineStr">
        <is>
          <t>P03</t>
        </is>
      </c>
      <c r="E140" s="13" t="inlineStr">
        <is>
          <t>Ramanatham_Bhajeham_seg0029</t>
        </is>
      </c>
      <c r="F140" s="13" t="n">
        <v>1</v>
      </c>
      <c r="G140" s="13" t="inlineStr">
        <is>
          <t>audio/pairwise/Ramanatham_Bhajeham_seg0029-finetuned_20s.wav</t>
        </is>
      </c>
      <c r="H140" s="13" t="inlineStr">
        <is>
          <t>audio/pairwise/Ramanatham_Bhajeham_seg0029-baseline_20s.wav</t>
        </is>
      </c>
      <c r="I140" s="13" t="inlineStr">
        <is>
          <t>finetuned</t>
        </is>
      </c>
      <c r="J140" s="13" t="inlineStr">
        <is>
          <t>baseline</t>
        </is>
      </c>
      <c r="K140" s="13" t="inlineStr">
        <is>
          <t>A</t>
        </is>
      </c>
      <c r="L140" s="13" t="inlineStr">
        <is>
          <t>A</t>
        </is>
      </c>
      <c r="M140" s="13" t="inlineStr">
        <is>
          <t>B</t>
        </is>
      </c>
      <c r="N140" s="13">
        <f>IF(K140="A", I140, J140)</f>
        <v/>
      </c>
      <c r="O140" s="13">
        <f>IF(L140="A", I140, J140)</f>
        <v/>
      </c>
      <c r="P140" s="13">
        <f>IF(M140="A", I140, J140)</f>
        <v/>
      </c>
      <c r="Q140" s="13" t="n"/>
      <c r="R140" s="13" t="inlineStr">
        <is>
          <t>Vocal</t>
        </is>
      </c>
      <c r="S140" s="13" t="inlineStr">
        <is>
          <t>test</t>
        </is>
      </c>
      <c r="T140" s="13" t="n"/>
    </row>
    <row r="141" ht="15" customHeight="1">
      <c r="A141" s="13" t="inlineStr">
        <is>
          <t>PABE392B</t>
        </is>
      </c>
      <c r="B141" s="13">
        <f>VLOOKUP(A141,Table1[[#All],[Participant ID]:[Persona]],7,0)</f>
        <v/>
      </c>
      <c r="C141" s="15" t="inlineStr">
        <is>
          <t>2026-04-08T14:06:43</t>
        </is>
      </c>
      <c r="D141" s="13" t="inlineStr">
        <is>
          <t>P05</t>
        </is>
      </c>
      <c r="E141" s="13" t="inlineStr">
        <is>
          <t>Nannupalimpa_seg0235</t>
        </is>
      </c>
      <c r="F141" s="13" t="n">
        <v>2</v>
      </c>
      <c r="G141" s="13" t="inlineStr">
        <is>
          <t>audio/pairwise/Nannupalimpa_seg0235-baseline_20s.wav</t>
        </is>
      </c>
      <c r="H141" s="13" t="inlineStr">
        <is>
          <t>audio/pairwise/Nannupalimpa_seg0235-finetuned_20s.wav</t>
        </is>
      </c>
      <c r="I141" s="13" t="inlineStr">
        <is>
          <t>baseline</t>
        </is>
      </c>
      <c r="J141" s="13" t="inlineStr">
        <is>
          <t>finetuned</t>
        </is>
      </c>
      <c r="K141" s="13" t="inlineStr">
        <is>
          <t>B</t>
        </is>
      </c>
      <c r="L141" s="13" t="inlineStr">
        <is>
          <t>B</t>
        </is>
      </c>
      <c r="M141" s="13" t="inlineStr">
        <is>
          <t>B</t>
        </is>
      </c>
      <c r="N141" s="13">
        <f>IF(K141="A", I141, J141)</f>
        <v/>
      </c>
      <c r="O141" s="13">
        <f>IF(L141="A", I141, J141)</f>
        <v/>
      </c>
      <c r="P141" s="13">
        <f>IF(M141="A", I141, J141)</f>
        <v/>
      </c>
      <c r="Q141" s="13" t="n"/>
      <c r="R141" s="13" t="inlineStr">
        <is>
          <t>Percussion - Mirudhangam</t>
        </is>
      </c>
      <c r="S141" s="13" t="inlineStr">
        <is>
          <t>test</t>
        </is>
      </c>
      <c r="T141" s="13" t="n"/>
    </row>
    <row r="142" ht="15" customHeight="1">
      <c r="A142" s="13" t="inlineStr">
        <is>
          <t>PABE392B</t>
        </is>
      </c>
      <c r="B142" s="13">
        <f>VLOOKUP(A142,Table1[[#All],[Participant ID]:[Persona]],7,0)</f>
        <v/>
      </c>
      <c r="C142" s="15" t="inlineStr">
        <is>
          <t>2026-04-08T14:06:43</t>
        </is>
      </c>
      <c r="D142" s="13" t="inlineStr">
        <is>
          <t>P02</t>
        </is>
      </c>
      <c r="E142" s="13" t="inlineStr">
        <is>
          <t>Raksha_Bettare_seg0201</t>
        </is>
      </c>
      <c r="F142" s="13" t="n">
        <v>3</v>
      </c>
      <c r="G142" s="13" t="inlineStr">
        <is>
          <t>audio/pairwise/Raksha_Bettare_seg0201-finetuned_20s.wav</t>
        </is>
      </c>
      <c r="H142" s="13" t="inlineStr">
        <is>
          <t>audio/pairwise/Raksha_Bettare_seg0201-baseline_20s.wav</t>
        </is>
      </c>
      <c r="I142" s="13" t="inlineStr">
        <is>
          <t>finetuned</t>
        </is>
      </c>
      <c r="J142" s="13" t="inlineStr">
        <is>
          <t>baseline</t>
        </is>
      </c>
      <c r="K142" s="13" t="inlineStr">
        <is>
          <t>A</t>
        </is>
      </c>
      <c r="L142" s="13" t="inlineStr">
        <is>
          <t>A</t>
        </is>
      </c>
      <c r="M142" s="13" t="inlineStr">
        <is>
          <t>A</t>
        </is>
      </c>
      <c r="N142" s="13">
        <f>IF(K142="A", I142, J142)</f>
        <v/>
      </c>
      <c r="O142" s="13">
        <f>IF(L142="A", I142, J142)</f>
        <v/>
      </c>
      <c r="P142" s="13">
        <f>IF(M142="A", I142, J142)</f>
        <v/>
      </c>
      <c r="Q142" s="13" t="n"/>
      <c r="R142" s="13" t="inlineStr">
        <is>
          <t>Vocal</t>
        </is>
      </c>
      <c r="S142" s="13" t="inlineStr">
        <is>
          <t>test</t>
        </is>
      </c>
      <c r="T142" s="13" t="n"/>
    </row>
    <row r="143" ht="15" customHeight="1">
      <c r="A143" s="13" t="inlineStr">
        <is>
          <t>PABE392B</t>
        </is>
      </c>
      <c r="B143" s="13">
        <f>VLOOKUP(A143,Table1[[#All],[Participant ID]:[Persona]],7,0)</f>
        <v/>
      </c>
      <c r="C143" s="15" t="inlineStr">
        <is>
          <t>2026-04-08T14:06:43</t>
        </is>
      </c>
      <c r="D143" s="13" t="inlineStr">
        <is>
          <t>P06</t>
        </is>
      </c>
      <c r="E143" s="13" t="inlineStr">
        <is>
          <t>Seshachala_Nayakam_seg0142</t>
        </is>
      </c>
      <c r="F143" s="13" t="n">
        <v>4</v>
      </c>
      <c r="G143" s="13" t="inlineStr">
        <is>
          <t>audio/pairwise/Seshachala_Nayakam_seg0142-baseline_20s.wav</t>
        </is>
      </c>
      <c r="H143" s="13" t="inlineStr">
        <is>
          <t>audio/pairwise/Seshachala_Nayakam_seg0142-finetuned_20s.wav</t>
        </is>
      </c>
      <c r="I143" s="13" t="inlineStr">
        <is>
          <t>baseline</t>
        </is>
      </c>
      <c r="J143" s="13" t="inlineStr">
        <is>
          <t>finetuned</t>
        </is>
      </c>
      <c r="K143" s="13" t="inlineStr">
        <is>
          <t>B</t>
        </is>
      </c>
      <c r="L143" s="13" t="inlineStr">
        <is>
          <t>B</t>
        </is>
      </c>
      <c r="M143" s="13" t="inlineStr">
        <is>
          <t>B</t>
        </is>
      </c>
      <c r="N143" s="13">
        <f>IF(K143="A", I143, J143)</f>
        <v/>
      </c>
      <c r="O143" s="13">
        <f>IF(L143="A", I143, J143)</f>
        <v/>
      </c>
      <c r="P143" s="13">
        <f>IF(M143="A", I143, J143)</f>
        <v/>
      </c>
      <c r="Q143" s="13" t="n"/>
      <c r="R143" s="13" t="inlineStr">
        <is>
          <t>Instrumental - Violin</t>
        </is>
      </c>
      <c r="S143" s="13" t="inlineStr">
        <is>
          <t>test</t>
        </is>
      </c>
      <c r="T143" s="13" t="n"/>
    </row>
    <row r="144" ht="15" customHeight="1">
      <c r="A144" s="13" t="inlineStr">
        <is>
          <t>PABE392B</t>
        </is>
      </c>
      <c r="B144" s="13">
        <f>VLOOKUP(A144,Table1[[#All],[Participant ID]:[Persona]],7,0)</f>
        <v/>
      </c>
      <c r="C144" s="15" t="inlineStr">
        <is>
          <t>2026-04-08T14:06:43</t>
        </is>
      </c>
      <c r="D144" s="13" t="inlineStr">
        <is>
          <t>P04</t>
        </is>
      </c>
      <c r="E144" s="13" t="inlineStr">
        <is>
          <t>Deva_Deva_Jagadeesha_seg0006</t>
        </is>
      </c>
      <c r="F144" s="13" t="n">
        <v>5</v>
      </c>
      <c r="G144" s="13" t="inlineStr">
        <is>
          <t>audio/pairwise/Deva_Deva_Jagadeesha_seg0006-baseline_20s.wav</t>
        </is>
      </c>
      <c r="H144" s="13" t="inlineStr">
        <is>
          <t>audio/pairwise/Deva_Deva_Jagadeesha_seg0006-finetuned_20s.wav</t>
        </is>
      </c>
      <c r="I144" s="13" t="inlineStr">
        <is>
          <t>baseline</t>
        </is>
      </c>
      <c r="J144" s="13" t="inlineStr">
        <is>
          <t>finetuned</t>
        </is>
      </c>
      <c r="K144" s="13" t="inlineStr">
        <is>
          <t>B</t>
        </is>
      </c>
      <c r="L144" s="13" t="inlineStr">
        <is>
          <t>B</t>
        </is>
      </c>
      <c r="M144" s="13" t="inlineStr">
        <is>
          <t>B</t>
        </is>
      </c>
      <c r="N144" s="13">
        <f>IF(K144="A", I144, J144)</f>
        <v/>
      </c>
      <c r="O144" s="13">
        <f>IF(L144="A", I144, J144)</f>
        <v/>
      </c>
      <c r="P144" s="13">
        <f>IF(M144="A", I144, J144)</f>
        <v/>
      </c>
      <c r="Q144" s="13" t="n"/>
      <c r="R144" s="13" t="inlineStr">
        <is>
          <t>Instrumental - Violin</t>
        </is>
      </c>
      <c r="S144" s="13" t="inlineStr">
        <is>
          <t>test</t>
        </is>
      </c>
      <c r="T144" s="13" t="n"/>
    </row>
    <row r="145" ht="15" customHeight="1">
      <c r="A145" s="13" t="inlineStr">
        <is>
          <t>PABE392B</t>
        </is>
      </c>
      <c r="B145" s="13">
        <f>VLOOKUP(A145,Table1[[#All],[Participant ID]:[Persona]],7,0)</f>
        <v/>
      </c>
      <c r="C145" s="15" t="inlineStr">
        <is>
          <t>2026-04-08T14:06:43</t>
        </is>
      </c>
      <c r="D145" s="13" t="inlineStr">
        <is>
          <t>P01</t>
        </is>
      </c>
      <c r="E145" s="13" t="inlineStr">
        <is>
          <t>Karpagambike_seg0044</t>
        </is>
      </c>
      <c r="F145" s="13" t="n">
        <v>6</v>
      </c>
      <c r="G145" s="13" t="inlineStr">
        <is>
          <t>audio/pairwise/Karpagambike_seg0044-finetuned_20s.wav</t>
        </is>
      </c>
      <c r="H145" s="13" t="inlineStr">
        <is>
          <t>audio/pairwise/Karpagambike_seg0044-baseline_20s.wav</t>
        </is>
      </c>
      <c r="I145" s="13" t="inlineStr">
        <is>
          <t>finetuned</t>
        </is>
      </c>
      <c r="J145" s="13" t="inlineStr">
        <is>
          <t>baseline</t>
        </is>
      </c>
      <c r="K145" s="13" t="inlineStr">
        <is>
          <t>B</t>
        </is>
      </c>
      <c r="L145" s="13" t="inlineStr">
        <is>
          <t>A</t>
        </is>
      </c>
      <c r="M145" s="13" t="inlineStr">
        <is>
          <t>A</t>
        </is>
      </c>
      <c r="N145" s="13">
        <f>IF(K145="A", I145, J145)</f>
        <v/>
      </c>
      <c r="O145" s="13">
        <f>IF(L145="A", I145, J145)</f>
        <v/>
      </c>
      <c r="P145" s="13">
        <f>IF(M145="A", I145, J145)</f>
        <v/>
      </c>
      <c r="Q145" s="13" t="n"/>
      <c r="R145" s="13" t="inlineStr">
        <is>
          <t>Vocal</t>
        </is>
      </c>
      <c r="S145" s="13" t="inlineStr">
        <is>
          <t>test</t>
        </is>
      </c>
      <c r="T145" s="13" t="n"/>
    </row>
    <row r="146" ht="15" customHeight="1">
      <c r="A146" s="13" t="inlineStr">
        <is>
          <t>PAD23D72</t>
        </is>
      </c>
      <c r="B146" s="13">
        <f>VLOOKUP(A146,Table1[[#All],[Participant ID]:[Persona]],7,0)</f>
        <v/>
      </c>
      <c r="C146" s="15" t="inlineStr">
        <is>
          <t>2026-04-08T16:42:03</t>
        </is>
      </c>
      <c r="D146" s="13" t="inlineStr">
        <is>
          <t>P04</t>
        </is>
      </c>
      <c r="E146" s="13" t="inlineStr">
        <is>
          <t>Deva_Deva_Jagadeesha_seg0006</t>
        </is>
      </c>
      <c r="F146" s="13" t="n">
        <v>1</v>
      </c>
      <c r="G146" s="13" t="inlineStr">
        <is>
          <t>audio/pairwise/Deva_Deva_Jagadeesha_seg0006-finetuned_20s.wav</t>
        </is>
      </c>
      <c r="H146" s="13" t="inlineStr">
        <is>
          <t>audio/pairwise/Deva_Deva_Jagadeesha_seg0006-baseline_20s.wav</t>
        </is>
      </c>
      <c r="I146" s="13" t="inlineStr">
        <is>
          <t>finetuned</t>
        </is>
      </c>
      <c r="J146" s="13" t="inlineStr">
        <is>
          <t>baseline</t>
        </is>
      </c>
      <c r="K146" s="13" t="inlineStr">
        <is>
          <t>B</t>
        </is>
      </c>
      <c r="L146" s="13" t="inlineStr">
        <is>
          <t>B</t>
        </is>
      </c>
      <c r="M146" s="13" t="inlineStr">
        <is>
          <t>B</t>
        </is>
      </c>
      <c r="N146" s="13">
        <f>IF(K146="A", I146, J146)</f>
        <v/>
      </c>
      <c r="O146" s="13">
        <f>IF(L146="A", I146, J146)</f>
        <v/>
      </c>
      <c r="P146" s="13">
        <f>IF(M146="A", I146, J146)</f>
        <v/>
      </c>
      <c r="Q146" s="13" t="n"/>
      <c r="R146" s="13" t="inlineStr">
        <is>
          <t>Instrumental - Violin</t>
        </is>
      </c>
      <c r="S146" s="13" t="inlineStr">
        <is>
          <t>test</t>
        </is>
      </c>
      <c r="T146" s="13" t="n"/>
    </row>
    <row r="147" ht="15" customHeight="1">
      <c r="A147" s="13" t="inlineStr">
        <is>
          <t>PAD23D72</t>
        </is>
      </c>
      <c r="B147" s="13">
        <f>VLOOKUP(A147,Table1[[#All],[Participant ID]:[Persona]],7,0)</f>
        <v/>
      </c>
      <c r="C147" s="15" t="inlineStr">
        <is>
          <t>2026-04-08T16:42:03</t>
        </is>
      </c>
      <c r="D147" s="13" t="inlineStr">
        <is>
          <t>P06</t>
        </is>
      </c>
      <c r="E147" s="13" t="inlineStr">
        <is>
          <t>Seshachala_Nayakam_seg0142</t>
        </is>
      </c>
      <c r="F147" s="13" t="n">
        <v>2</v>
      </c>
      <c r="G147" s="13" t="inlineStr">
        <is>
          <t>audio/pairwise/Seshachala_Nayakam_seg0142-baseline_20s.wav</t>
        </is>
      </c>
      <c r="H147" s="13" t="inlineStr">
        <is>
          <t>audio/pairwise/Seshachala_Nayakam_seg0142-finetuned_20s.wav</t>
        </is>
      </c>
      <c r="I147" s="13" t="inlineStr">
        <is>
          <t>baseline</t>
        </is>
      </c>
      <c r="J147" s="13" t="inlineStr">
        <is>
          <t>finetuned</t>
        </is>
      </c>
      <c r="K147" s="13" t="inlineStr">
        <is>
          <t>B</t>
        </is>
      </c>
      <c r="L147" s="13" t="inlineStr">
        <is>
          <t>B</t>
        </is>
      </c>
      <c r="M147" s="13" t="inlineStr">
        <is>
          <t>B</t>
        </is>
      </c>
      <c r="N147" s="13">
        <f>IF(K147="A", I147, J147)</f>
        <v/>
      </c>
      <c r="O147" s="13">
        <f>IF(L147="A", I147, J147)</f>
        <v/>
      </c>
      <c r="P147" s="13">
        <f>IF(M147="A", I147, J147)</f>
        <v/>
      </c>
      <c r="Q147" s="13" t="n"/>
      <c r="R147" s="13" t="inlineStr">
        <is>
          <t>Instrumental - Violin</t>
        </is>
      </c>
      <c r="S147" s="13" t="inlineStr">
        <is>
          <t>test</t>
        </is>
      </c>
      <c r="T147" s="13" t="n"/>
    </row>
    <row r="148" ht="15" customHeight="1">
      <c r="A148" s="13" t="inlineStr">
        <is>
          <t>PAD23D72</t>
        </is>
      </c>
      <c r="B148" s="13">
        <f>VLOOKUP(A148,Table1[[#All],[Participant ID]:[Persona]],7,0)</f>
        <v/>
      </c>
      <c r="C148" s="15" t="inlineStr">
        <is>
          <t>2026-04-08T16:42:03</t>
        </is>
      </c>
      <c r="D148" s="13" t="inlineStr">
        <is>
          <t>P03</t>
        </is>
      </c>
      <c r="E148" s="13" t="inlineStr">
        <is>
          <t>Ramanatham_Bhajeham_seg0029</t>
        </is>
      </c>
      <c r="F148" s="13" t="n">
        <v>3</v>
      </c>
      <c r="G148" s="13" t="inlineStr">
        <is>
          <t>audio/pairwise/Ramanatham_Bhajeham_seg0029-finetuned_20s.wav</t>
        </is>
      </c>
      <c r="H148" s="13" t="inlineStr">
        <is>
          <t>audio/pairwise/Ramanatham_Bhajeham_seg0029-baseline_20s.wav</t>
        </is>
      </c>
      <c r="I148" s="13" t="inlineStr">
        <is>
          <t>finetuned</t>
        </is>
      </c>
      <c r="J148" s="13" t="inlineStr">
        <is>
          <t>baseline</t>
        </is>
      </c>
      <c r="K148" s="13" t="inlineStr">
        <is>
          <t>B</t>
        </is>
      </c>
      <c r="L148" s="13" t="inlineStr">
        <is>
          <t>B</t>
        </is>
      </c>
      <c r="M148" s="13" t="inlineStr">
        <is>
          <t>B</t>
        </is>
      </c>
      <c r="N148" s="13">
        <f>IF(K148="A", I148, J148)</f>
        <v/>
      </c>
      <c r="O148" s="13">
        <f>IF(L148="A", I148, J148)</f>
        <v/>
      </c>
      <c r="P148" s="13">
        <f>IF(M148="A", I148, J148)</f>
        <v/>
      </c>
      <c r="Q148" s="13" t="n"/>
      <c r="R148" s="13" t="inlineStr">
        <is>
          <t>Vocal</t>
        </is>
      </c>
      <c r="S148" s="13" t="inlineStr">
        <is>
          <t>test</t>
        </is>
      </c>
      <c r="T148" s="13" t="n"/>
    </row>
    <row r="149" ht="15" customHeight="1">
      <c r="A149" s="13" t="inlineStr">
        <is>
          <t>PAD23D72</t>
        </is>
      </c>
      <c r="B149" s="13">
        <f>VLOOKUP(A149,Table1[[#All],[Participant ID]:[Persona]],7,0)</f>
        <v/>
      </c>
      <c r="C149" s="15" t="inlineStr">
        <is>
          <t>2026-04-08T16:42:03</t>
        </is>
      </c>
      <c r="D149" s="13" t="inlineStr">
        <is>
          <t>P01</t>
        </is>
      </c>
      <c r="E149" s="13" t="inlineStr">
        <is>
          <t>Karpagambike_seg0044</t>
        </is>
      </c>
      <c r="F149" s="13" t="n">
        <v>4</v>
      </c>
      <c r="G149" s="13" t="inlineStr">
        <is>
          <t>audio/pairwise/Karpagambike_seg0044-baseline_20s.wav</t>
        </is>
      </c>
      <c r="H149" s="13" t="inlineStr">
        <is>
          <t>audio/pairwise/Karpagambike_seg0044-finetuned_20s.wav</t>
        </is>
      </c>
      <c r="I149" s="13" t="inlineStr">
        <is>
          <t>baseline</t>
        </is>
      </c>
      <c r="J149" s="13" t="inlineStr">
        <is>
          <t>finetuned</t>
        </is>
      </c>
      <c r="K149" s="13" t="inlineStr">
        <is>
          <t>B</t>
        </is>
      </c>
      <c r="L149" s="13" t="inlineStr">
        <is>
          <t>A</t>
        </is>
      </c>
      <c r="M149" s="13" t="inlineStr">
        <is>
          <t>B</t>
        </is>
      </c>
      <c r="N149" s="13">
        <f>IF(K149="A", I149, J149)</f>
        <v/>
      </c>
      <c r="O149" s="13">
        <f>IF(L149="A", I149, J149)</f>
        <v/>
      </c>
      <c r="P149" s="13">
        <f>IF(M149="A", I149, J149)</f>
        <v/>
      </c>
      <c r="Q149" s="13" t="n"/>
      <c r="R149" s="13" t="inlineStr">
        <is>
          <t>Vocal</t>
        </is>
      </c>
      <c r="S149" s="13" t="inlineStr">
        <is>
          <t>test</t>
        </is>
      </c>
      <c r="T149" s="13" t="n"/>
    </row>
    <row r="150" ht="15" customHeight="1">
      <c r="A150" s="13" t="inlineStr">
        <is>
          <t>PAD23D72</t>
        </is>
      </c>
      <c r="B150" s="13">
        <f>VLOOKUP(A150,Table1[[#All],[Participant ID]:[Persona]],7,0)</f>
        <v/>
      </c>
      <c r="C150" s="15" t="inlineStr">
        <is>
          <t>2026-04-08T16:42:03</t>
        </is>
      </c>
      <c r="D150" s="13" t="inlineStr">
        <is>
          <t>P02</t>
        </is>
      </c>
      <c r="E150" s="13" t="inlineStr">
        <is>
          <t>Raksha_Bettare_seg0201</t>
        </is>
      </c>
      <c r="F150" s="13" t="n">
        <v>5</v>
      </c>
      <c r="G150" s="13" t="inlineStr">
        <is>
          <t>audio/pairwise/Raksha_Bettare_seg0201-baseline_20s.wav</t>
        </is>
      </c>
      <c r="H150" s="13" t="inlineStr">
        <is>
          <t>audio/pairwise/Raksha_Bettare_seg0201-finetuned_20s.wav</t>
        </is>
      </c>
      <c r="I150" s="13" t="inlineStr">
        <is>
          <t>baseline</t>
        </is>
      </c>
      <c r="J150" s="13" t="inlineStr">
        <is>
          <t>finetuned</t>
        </is>
      </c>
      <c r="K150" s="13" t="inlineStr">
        <is>
          <t>B</t>
        </is>
      </c>
      <c r="L150" s="13" t="inlineStr">
        <is>
          <t>B</t>
        </is>
      </c>
      <c r="M150" s="13" t="inlineStr">
        <is>
          <t>A</t>
        </is>
      </c>
      <c r="N150" s="13">
        <f>IF(K150="A", I150, J150)</f>
        <v/>
      </c>
      <c r="O150" s="13">
        <f>IF(L150="A", I150, J150)</f>
        <v/>
      </c>
      <c r="P150" s="13">
        <f>IF(M150="A", I150, J150)</f>
        <v/>
      </c>
      <c r="Q150" s="13" t="n"/>
      <c r="R150" s="13" t="inlineStr">
        <is>
          <t>Vocal</t>
        </is>
      </c>
      <c r="S150" s="13" t="inlineStr">
        <is>
          <t>test</t>
        </is>
      </c>
      <c r="T150" s="13" t="n"/>
    </row>
    <row r="151" ht="15" customHeight="1">
      <c r="A151" s="13" t="inlineStr">
        <is>
          <t>PAD23D72</t>
        </is>
      </c>
      <c r="B151" s="13">
        <f>VLOOKUP(A151,Table1[[#All],[Participant ID]:[Persona]],7,0)</f>
        <v/>
      </c>
      <c r="C151" s="15" t="inlineStr">
        <is>
          <t>2026-04-08T16:42:03</t>
        </is>
      </c>
      <c r="D151" s="13" t="inlineStr">
        <is>
          <t>P05</t>
        </is>
      </c>
      <c r="E151" s="13" t="inlineStr">
        <is>
          <t>Nannupalimpa_seg0235</t>
        </is>
      </c>
      <c r="F151" s="13" t="n">
        <v>6</v>
      </c>
      <c r="G151" s="13" t="inlineStr">
        <is>
          <t>audio/pairwise/Nannupalimpa_seg0235-baseline_20s.wav</t>
        </is>
      </c>
      <c r="H151" s="13" t="inlineStr">
        <is>
          <t>audio/pairwise/Nannupalimpa_seg0235-finetuned_20s.wav</t>
        </is>
      </c>
      <c r="I151" s="13" t="inlineStr">
        <is>
          <t>baseline</t>
        </is>
      </c>
      <c r="J151" s="13" t="inlineStr">
        <is>
          <t>finetuned</t>
        </is>
      </c>
      <c r="K151" s="13" t="inlineStr">
        <is>
          <t>A</t>
        </is>
      </c>
      <c r="L151" s="13" t="inlineStr">
        <is>
          <t>A</t>
        </is>
      </c>
      <c r="M151" s="13" t="inlineStr">
        <is>
          <t>A</t>
        </is>
      </c>
      <c r="N151" s="13">
        <f>IF(K151="A", I151, J151)</f>
        <v/>
      </c>
      <c r="O151" s="13">
        <f>IF(L151="A", I151, J151)</f>
        <v/>
      </c>
      <c r="P151" s="13">
        <f>IF(M151="A", I151, J151)</f>
        <v/>
      </c>
      <c r="Q151" s="13" t="n"/>
      <c r="R151" s="13" t="inlineStr">
        <is>
          <t>Percussion - Mirudhangam</t>
        </is>
      </c>
      <c r="S151" s="13" t="inlineStr">
        <is>
          <t>test</t>
        </is>
      </c>
      <c r="T151" s="13" t="n"/>
    </row>
    <row r="152" ht="15" customHeight="1">
      <c r="A152" s="13" t="inlineStr">
        <is>
          <t>PA44D477</t>
        </is>
      </c>
      <c r="B152" s="13">
        <f>VLOOKUP(A152,Table1[[#All],[Participant ID]:[Persona]],7,0)</f>
        <v/>
      </c>
      <c r="C152" s="15" t="inlineStr">
        <is>
          <t>2026-04-08T16:48:23</t>
        </is>
      </c>
      <c r="D152" s="13" t="inlineStr">
        <is>
          <t>P02</t>
        </is>
      </c>
      <c r="E152" s="13" t="inlineStr">
        <is>
          <t>Raksha_Bettare_seg0201</t>
        </is>
      </c>
      <c r="F152" s="13" t="n">
        <v>1</v>
      </c>
      <c r="G152" s="13" t="inlineStr">
        <is>
          <t>audio/pairwise/Raksha_Bettare_seg0201-finetuned_20s.wav</t>
        </is>
      </c>
      <c r="H152" s="13" t="inlineStr">
        <is>
          <t>audio/pairwise/Raksha_Bettare_seg0201-baseline_20s.wav</t>
        </is>
      </c>
      <c r="I152" s="13" t="inlineStr">
        <is>
          <t>finetuned</t>
        </is>
      </c>
      <c r="J152" s="13" t="inlineStr">
        <is>
          <t>baseline</t>
        </is>
      </c>
      <c r="K152" s="13" t="inlineStr">
        <is>
          <t>B</t>
        </is>
      </c>
      <c r="L152" s="13" t="inlineStr">
        <is>
          <t>A</t>
        </is>
      </c>
      <c r="M152" s="13" t="inlineStr">
        <is>
          <t>A</t>
        </is>
      </c>
      <c r="N152" s="13">
        <f>IF(K152="A", I152, J152)</f>
        <v/>
      </c>
      <c r="O152" s="13">
        <f>IF(L152="A", I152, J152)</f>
        <v/>
      </c>
      <c r="P152" s="13">
        <f>IF(M152="A", I152, J152)</f>
        <v/>
      </c>
      <c r="Q152" s="13" t="n"/>
      <c r="R152" s="13" t="inlineStr">
        <is>
          <t>Vocal</t>
        </is>
      </c>
      <c r="S152" s="13" t="inlineStr">
        <is>
          <t>test</t>
        </is>
      </c>
      <c r="T152" s="13" t="n"/>
    </row>
    <row r="153" ht="15" customHeight="1">
      <c r="A153" s="13" t="inlineStr">
        <is>
          <t>PA44D477</t>
        </is>
      </c>
      <c r="B153" s="13">
        <f>VLOOKUP(A153,Table1[[#All],[Participant ID]:[Persona]],7,0)</f>
        <v/>
      </c>
      <c r="C153" s="15" t="inlineStr">
        <is>
          <t>2026-04-08T16:48:23</t>
        </is>
      </c>
      <c r="D153" s="13" t="inlineStr">
        <is>
          <t>P05</t>
        </is>
      </c>
      <c r="E153" s="13" t="inlineStr">
        <is>
          <t>Nannupalimpa_seg0235</t>
        </is>
      </c>
      <c r="F153" s="13" t="n">
        <v>2</v>
      </c>
      <c r="G153" s="13" t="inlineStr">
        <is>
          <t>audio/pairwise/Nannupalimpa_seg0235-baseline_20s.wav</t>
        </is>
      </c>
      <c r="H153" s="13" t="inlineStr">
        <is>
          <t>audio/pairwise/Nannupalimpa_seg0235-finetuned_20s.wav</t>
        </is>
      </c>
      <c r="I153" s="13" t="inlineStr">
        <is>
          <t>baseline</t>
        </is>
      </c>
      <c r="J153" s="13" t="inlineStr">
        <is>
          <t>finetuned</t>
        </is>
      </c>
      <c r="K153" s="13" t="inlineStr">
        <is>
          <t>B</t>
        </is>
      </c>
      <c r="L153" s="13" t="inlineStr">
        <is>
          <t>B</t>
        </is>
      </c>
      <c r="M153" s="13" t="inlineStr">
        <is>
          <t>B</t>
        </is>
      </c>
      <c r="N153" s="13">
        <f>IF(K153="A", I153, J153)</f>
        <v/>
      </c>
      <c r="O153" s="13">
        <f>IF(L153="A", I153, J153)</f>
        <v/>
      </c>
      <c r="P153" s="13">
        <f>IF(M153="A", I153, J153)</f>
        <v/>
      </c>
      <c r="Q153" s="13" t="n"/>
      <c r="R153" s="13" t="inlineStr">
        <is>
          <t>Percussion - Mirudhangam</t>
        </is>
      </c>
      <c r="S153" s="13" t="inlineStr">
        <is>
          <t>test</t>
        </is>
      </c>
      <c r="T153" s="13" t="n"/>
    </row>
    <row r="154" ht="15" customHeight="1">
      <c r="A154" s="13" t="inlineStr">
        <is>
          <t>PA44D477</t>
        </is>
      </c>
      <c r="B154" s="13">
        <f>VLOOKUP(A154,Table1[[#All],[Participant ID]:[Persona]],7,0)</f>
        <v/>
      </c>
      <c r="C154" s="15" t="inlineStr">
        <is>
          <t>2026-04-08T16:48:23</t>
        </is>
      </c>
      <c r="D154" s="13" t="inlineStr">
        <is>
          <t>P06</t>
        </is>
      </c>
      <c r="E154" s="13" t="inlineStr">
        <is>
          <t>Seshachala_Nayakam_seg0142</t>
        </is>
      </c>
      <c r="F154" s="13" t="n">
        <v>3</v>
      </c>
      <c r="G154" s="13" t="inlineStr">
        <is>
          <t>audio/pairwise/Seshachala_Nayakam_seg0142-finetuned_20s.wav</t>
        </is>
      </c>
      <c r="H154" s="13" t="inlineStr">
        <is>
          <t>audio/pairwise/Seshachala_Nayakam_seg0142-baseline_20s.wav</t>
        </is>
      </c>
      <c r="I154" s="13" t="inlineStr">
        <is>
          <t>finetuned</t>
        </is>
      </c>
      <c r="J154" s="13" t="inlineStr">
        <is>
          <t>baseline</t>
        </is>
      </c>
      <c r="K154" s="13" t="inlineStr">
        <is>
          <t>B</t>
        </is>
      </c>
      <c r="L154" s="13" t="inlineStr">
        <is>
          <t>A</t>
        </is>
      </c>
      <c r="M154" s="13" t="inlineStr">
        <is>
          <t>B</t>
        </is>
      </c>
      <c r="N154" s="13">
        <f>IF(K154="A", I154, J154)</f>
        <v/>
      </c>
      <c r="O154" s="13">
        <f>IF(L154="A", I154, J154)</f>
        <v/>
      </c>
      <c r="P154" s="13">
        <f>IF(M154="A", I154, J154)</f>
        <v/>
      </c>
      <c r="Q154" s="13" t="n"/>
      <c r="R154" s="13" t="inlineStr">
        <is>
          <t>Instrumental - Violin</t>
        </is>
      </c>
      <c r="S154" s="13" t="inlineStr">
        <is>
          <t>test</t>
        </is>
      </c>
      <c r="T154" s="13" t="n"/>
    </row>
    <row r="155" ht="15" customHeight="1">
      <c r="A155" s="13" t="inlineStr">
        <is>
          <t>PA44D477</t>
        </is>
      </c>
      <c r="B155" s="13">
        <f>VLOOKUP(A155,Table1[[#All],[Participant ID]:[Persona]],7,0)</f>
        <v/>
      </c>
      <c r="C155" s="15" t="inlineStr">
        <is>
          <t>2026-04-08T16:48:23</t>
        </is>
      </c>
      <c r="D155" s="13" t="inlineStr">
        <is>
          <t>P03</t>
        </is>
      </c>
      <c r="E155" s="13" t="inlineStr">
        <is>
          <t>Ramanatham_Bhajeham_seg0029</t>
        </is>
      </c>
      <c r="F155" s="13" t="n">
        <v>4</v>
      </c>
      <c r="G155" s="13" t="inlineStr">
        <is>
          <t>audio/pairwise/Ramanatham_Bhajeham_seg0029-finetuned_20s.wav</t>
        </is>
      </c>
      <c r="H155" s="13" t="inlineStr">
        <is>
          <t>audio/pairwise/Ramanatham_Bhajeham_seg0029-baseline_20s.wav</t>
        </is>
      </c>
      <c r="I155" s="13" t="inlineStr">
        <is>
          <t>finetuned</t>
        </is>
      </c>
      <c r="J155" s="13" t="inlineStr">
        <is>
          <t>baseline</t>
        </is>
      </c>
      <c r="K155" s="13" t="inlineStr">
        <is>
          <t>A</t>
        </is>
      </c>
      <c r="L155" s="13" t="inlineStr">
        <is>
          <t>A</t>
        </is>
      </c>
      <c r="M155" s="13" t="inlineStr">
        <is>
          <t>B</t>
        </is>
      </c>
      <c r="N155" s="13">
        <f>IF(K155="A", I155, J155)</f>
        <v/>
      </c>
      <c r="O155" s="13">
        <f>IF(L155="A", I155, J155)</f>
        <v/>
      </c>
      <c r="P155" s="13">
        <f>IF(M155="A", I155, J155)</f>
        <v/>
      </c>
      <c r="Q155" s="13" t="n"/>
      <c r="R155" s="13" t="inlineStr">
        <is>
          <t>Vocal</t>
        </is>
      </c>
      <c r="S155" s="13" t="inlineStr">
        <is>
          <t>test</t>
        </is>
      </c>
      <c r="T155" s="13" t="n"/>
    </row>
    <row r="156" ht="15" customHeight="1">
      <c r="A156" s="13" t="inlineStr">
        <is>
          <t>PA44D477</t>
        </is>
      </c>
      <c r="B156" s="13">
        <f>VLOOKUP(A156,Table1[[#All],[Participant ID]:[Persona]],7,0)</f>
        <v/>
      </c>
      <c r="C156" s="15" t="inlineStr">
        <is>
          <t>2026-04-08T16:48:23</t>
        </is>
      </c>
      <c r="D156" s="13" t="inlineStr">
        <is>
          <t>P04</t>
        </is>
      </c>
      <c r="E156" s="13" t="inlineStr">
        <is>
          <t>Deva_Deva_Jagadeesha_seg0006</t>
        </is>
      </c>
      <c r="F156" s="13" t="n">
        <v>5</v>
      </c>
      <c r="G156" s="13" t="inlineStr">
        <is>
          <t>audio/pairwise/Deva_Deva_Jagadeesha_seg0006-finetuned_20s.wav</t>
        </is>
      </c>
      <c r="H156" s="13" t="inlineStr">
        <is>
          <t>audio/pairwise/Deva_Deva_Jagadeesha_seg0006-baseline_20s.wav</t>
        </is>
      </c>
      <c r="I156" s="13" t="inlineStr">
        <is>
          <t>finetuned</t>
        </is>
      </c>
      <c r="J156" s="13" t="inlineStr">
        <is>
          <t>baseline</t>
        </is>
      </c>
      <c r="K156" s="13" t="inlineStr">
        <is>
          <t>A</t>
        </is>
      </c>
      <c r="L156" s="13" t="inlineStr">
        <is>
          <t>A</t>
        </is>
      </c>
      <c r="M156" s="13" t="inlineStr">
        <is>
          <t>A</t>
        </is>
      </c>
      <c r="N156" s="13">
        <f>IF(K156="A", I156, J156)</f>
        <v/>
      </c>
      <c r="O156" s="13">
        <f>IF(L156="A", I156, J156)</f>
        <v/>
      </c>
      <c r="P156" s="13">
        <f>IF(M156="A", I156, J156)</f>
        <v/>
      </c>
      <c r="Q156" s="13" t="n"/>
      <c r="R156" s="13" t="inlineStr">
        <is>
          <t>Instrumental - Violin</t>
        </is>
      </c>
      <c r="S156" s="13" t="inlineStr">
        <is>
          <t>test</t>
        </is>
      </c>
      <c r="T156" s="13" t="n"/>
    </row>
    <row r="157" ht="15" customHeight="1">
      <c r="A157" s="13" t="inlineStr">
        <is>
          <t>PA44D477</t>
        </is>
      </c>
      <c r="B157" s="13">
        <f>VLOOKUP(A157,Table1[[#All],[Participant ID]:[Persona]],7,0)</f>
        <v/>
      </c>
      <c r="C157" s="15" t="inlineStr">
        <is>
          <t>2026-04-08T16:48:23</t>
        </is>
      </c>
      <c r="D157" s="13" t="inlineStr">
        <is>
          <t>P01</t>
        </is>
      </c>
      <c r="E157" s="13" t="inlineStr">
        <is>
          <t>Karpagambike_seg0044</t>
        </is>
      </c>
      <c r="F157" s="13" t="n">
        <v>6</v>
      </c>
      <c r="G157" s="13" t="inlineStr">
        <is>
          <t>audio/pairwise/Karpagambike_seg0044-finetuned_20s.wav</t>
        </is>
      </c>
      <c r="H157" s="13" t="inlineStr">
        <is>
          <t>audio/pairwise/Karpagambike_seg0044-baseline_20s.wav</t>
        </is>
      </c>
      <c r="I157" s="13" t="inlineStr">
        <is>
          <t>finetuned</t>
        </is>
      </c>
      <c r="J157" s="13" t="inlineStr">
        <is>
          <t>baseline</t>
        </is>
      </c>
      <c r="K157" s="13" t="inlineStr">
        <is>
          <t>A</t>
        </is>
      </c>
      <c r="L157" s="13" t="inlineStr">
        <is>
          <t>A</t>
        </is>
      </c>
      <c r="M157" s="13" t="inlineStr">
        <is>
          <t>B</t>
        </is>
      </c>
      <c r="N157" s="13">
        <f>IF(K157="A", I157, J157)</f>
        <v/>
      </c>
      <c r="O157" s="13">
        <f>IF(L157="A", I157, J157)</f>
        <v/>
      </c>
      <c r="P157" s="13">
        <f>IF(M157="A", I157, J157)</f>
        <v/>
      </c>
      <c r="Q157" s="13" t="n"/>
      <c r="R157" s="13" t="inlineStr">
        <is>
          <t>Vocal</t>
        </is>
      </c>
      <c r="S157" s="13" t="inlineStr">
        <is>
          <t>test</t>
        </is>
      </c>
      <c r="T157" s="13" t="n"/>
    </row>
    <row r="158" ht="15" customHeight="1">
      <c r="A158" s="13" t="inlineStr">
        <is>
          <t>PA4BADE8</t>
        </is>
      </c>
      <c r="B158" s="13">
        <f>VLOOKUP(A158,Table1[[#All],[Participant ID]:[Persona]],7,0)</f>
        <v/>
      </c>
      <c r="C158" s="15" t="inlineStr">
        <is>
          <t>2026-04-09T03:13:26</t>
        </is>
      </c>
      <c r="D158" s="13" t="inlineStr">
        <is>
          <t>P01</t>
        </is>
      </c>
      <c r="E158" s="13" t="inlineStr">
        <is>
          <t>Karpagambike_seg0044</t>
        </is>
      </c>
      <c r="F158" s="13" t="n">
        <v>1</v>
      </c>
      <c r="G158" s="13" t="inlineStr">
        <is>
          <t>audio/pairwise/Karpagambike_seg0044-finetuned_20s.wav</t>
        </is>
      </c>
      <c r="H158" s="13" t="inlineStr">
        <is>
          <t>audio/pairwise/Karpagambike_seg0044-baseline_20s.wav</t>
        </is>
      </c>
      <c r="I158" s="13" t="inlineStr">
        <is>
          <t>finetuned</t>
        </is>
      </c>
      <c r="J158" s="13" t="inlineStr">
        <is>
          <t>baseline</t>
        </is>
      </c>
      <c r="K158" s="13" t="inlineStr">
        <is>
          <t>A</t>
        </is>
      </c>
      <c r="L158" s="13" t="inlineStr">
        <is>
          <t>B</t>
        </is>
      </c>
      <c r="M158" s="13" t="inlineStr">
        <is>
          <t>A</t>
        </is>
      </c>
      <c r="N158" s="13">
        <f>IF(K158="A", I158, J158)</f>
        <v/>
      </c>
      <c r="O158" s="13">
        <f>IF(L158="A", I158, J158)</f>
        <v/>
      </c>
      <c r="P158" s="13">
        <f>IF(M158="A", I158, J158)</f>
        <v/>
      </c>
      <c r="Q158" s="13" t="n"/>
      <c r="R158" s="13" t="inlineStr">
        <is>
          <t>Vocal</t>
        </is>
      </c>
      <c r="S158" s="13" t="inlineStr">
        <is>
          <t>test</t>
        </is>
      </c>
      <c r="T158" s="13" t="n"/>
    </row>
    <row r="159" ht="15" customHeight="1">
      <c r="A159" s="13" t="inlineStr">
        <is>
          <t>PA4BADE8</t>
        </is>
      </c>
      <c r="B159" s="13">
        <f>VLOOKUP(A159,Table1[[#All],[Participant ID]:[Persona]],7,0)</f>
        <v/>
      </c>
      <c r="C159" s="15" t="inlineStr">
        <is>
          <t>2026-04-09T03:13:26</t>
        </is>
      </c>
      <c r="D159" s="13" t="inlineStr">
        <is>
          <t>P02</t>
        </is>
      </c>
      <c r="E159" s="13" t="inlineStr">
        <is>
          <t>Raksha_Bettare_seg0201</t>
        </is>
      </c>
      <c r="F159" s="13" t="n">
        <v>2</v>
      </c>
      <c r="G159" s="13" t="inlineStr">
        <is>
          <t>audio/pairwise/Raksha_Bettare_seg0201-finetuned_20s.wav</t>
        </is>
      </c>
      <c r="H159" s="13" t="inlineStr">
        <is>
          <t>audio/pairwise/Raksha_Bettare_seg0201-baseline_20s.wav</t>
        </is>
      </c>
      <c r="I159" s="13" t="inlineStr">
        <is>
          <t>finetuned</t>
        </is>
      </c>
      <c r="J159" s="13" t="inlineStr">
        <is>
          <t>baseline</t>
        </is>
      </c>
      <c r="K159" s="13" t="inlineStr">
        <is>
          <t>A</t>
        </is>
      </c>
      <c r="L159" s="13" t="inlineStr">
        <is>
          <t>A</t>
        </is>
      </c>
      <c r="M159" s="13" t="inlineStr">
        <is>
          <t>A</t>
        </is>
      </c>
      <c r="N159" s="13">
        <f>IF(K159="A", I159, J159)</f>
        <v/>
      </c>
      <c r="O159" s="13">
        <f>IF(L159="A", I159, J159)</f>
        <v/>
      </c>
      <c r="P159" s="13">
        <f>IF(M159="A", I159, J159)</f>
        <v/>
      </c>
      <c r="Q159" s="13" t="n"/>
      <c r="R159" s="13" t="inlineStr">
        <is>
          <t>Vocal</t>
        </is>
      </c>
      <c r="S159" s="13" t="inlineStr">
        <is>
          <t>test</t>
        </is>
      </c>
      <c r="T159" s="13" t="n"/>
    </row>
    <row r="160" ht="15" customHeight="1">
      <c r="A160" s="13" t="inlineStr">
        <is>
          <t>PA4BADE8</t>
        </is>
      </c>
      <c r="B160" s="13">
        <f>VLOOKUP(A160,Table1[[#All],[Participant ID]:[Persona]],7,0)</f>
        <v/>
      </c>
      <c r="C160" s="15" t="inlineStr">
        <is>
          <t>2026-04-09T03:13:26</t>
        </is>
      </c>
      <c r="D160" s="13" t="inlineStr">
        <is>
          <t>P04</t>
        </is>
      </c>
      <c r="E160" s="13" t="inlineStr">
        <is>
          <t>Deva_Deva_Jagadeesha_seg0006</t>
        </is>
      </c>
      <c r="F160" s="13" t="n">
        <v>3</v>
      </c>
      <c r="G160" s="13" t="inlineStr">
        <is>
          <t>audio/pairwise/Deva_Deva_Jagadeesha_seg0006-finetuned_20s.wav</t>
        </is>
      </c>
      <c r="H160" s="13" t="inlineStr">
        <is>
          <t>audio/pairwise/Deva_Deva_Jagadeesha_seg0006-baseline_20s.wav</t>
        </is>
      </c>
      <c r="I160" s="13" t="inlineStr">
        <is>
          <t>finetuned</t>
        </is>
      </c>
      <c r="J160" s="13" t="inlineStr">
        <is>
          <t>baseline</t>
        </is>
      </c>
      <c r="K160" s="13" t="inlineStr">
        <is>
          <t>A</t>
        </is>
      </c>
      <c r="L160" s="13" t="inlineStr">
        <is>
          <t>A</t>
        </is>
      </c>
      <c r="M160" s="13" t="inlineStr">
        <is>
          <t>A</t>
        </is>
      </c>
      <c r="N160" s="13">
        <f>IF(K160="A", I160, J160)</f>
        <v/>
      </c>
      <c r="O160" s="13">
        <f>IF(L160="A", I160, J160)</f>
        <v/>
      </c>
      <c r="P160" s="13">
        <f>IF(M160="A", I160, J160)</f>
        <v/>
      </c>
      <c r="Q160" s="13" t="n"/>
      <c r="R160" s="13" t="inlineStr">
        <is>
          <t>Instrumental - Violin</t>
        </is>
      </c>
      <c r="S160" s="13" t="inlineStr">
        <is>
          <t>test</t>
        </is>
      </c>
      <c r="T160" s="13" t="n"/>
    </row>
    <row r="161" ht="15" customHeight="1">
      <c r="A161" s="13" t="inlineStr">
        <is>
          <t>PA4BADE8</t>
        </is>
      </c>
      <c r="B161" s="13">
        <f>VLOOKUP(A161,Table1[[#All],[Participant ID]:[Persona]],7,0)</f>
        <v/>
      </c>
      <c r="C161" s="15" t="inlineStr">
        <is>
          <t>2026-04-09T03:13:26</t>
        </is>
      </c>
      <c r="D161" s="13" t="inlineStr">
        <is>
          <t>P03</t>
        </is>
      </c>
      <c r="E161" s="13" t="inlineStr">
        <is>
          <t>Ramanatham_Bhajeham_seg0029</t>
        </is>
      </c>
      <c r="F161" s="13" t="n">
        <v>4</v>
      </c>
      <c r="G161" s="13" t="inlineStr">
        <is>
          <t>audio/pairwise/Ramanatham_Bhajeham_seg0029-finetuned_20s.wav</t>
        </is>
      </c>
      <c r="H161" s="13" t="inlineStr">
        <is>
          <t>audio/pairwise/Ramanatham_Bhajeham_seg0029-baseline_20s.wav</t>
        </is>
      </c>
      <c r="I161" s="13" t="inlineStr">
        <is>
          <t>finetuned</t>
        </is>
      </c>
      <c r="J161" s="13" t="inlineStr">
        <is>
          <t>baseline</t>
        </is>
      </c>
      <c r="K161" s="13" t="inlineStr">
        <is>
          <t>B</t>
        </is>
      </c>
      <c r="L161" s="13" t="inlineStr">
        <is>
          <t>B</t>
        </is>
      </c>
      <c r="M161" s="13" t="inlineStr">
        <is>
          <t>B</t>
        </is>
      </c>
      <c r="N161" s="13">
        <f>IF(K161="A", I161, J161)</f>
        <v/>
      </c>
      <c r="O161" s="13">
        <f>IF(L161="A", I161, J161)</f>
        <v/>
      </c>
      <c r="P161" s="13">
        <f>IF(M161="A", I161, J161)</f>
        <v/>
      </c>
      <c r="Q161" s="13" t="n"/>
      <c r="R161" s="13" t="inlineStr">
        <is>
          <t>Vocal</t>
        </is>
      </c>
      <c r="S161" s="13" t="inlineStr">
        <is>
          <t>test</t>
        </is>
      </c>
      <c r="T161" s="13" t="n"/>
    </row>
    <row r="162" ht="15" customHeight="1">
      <c r="A162" s="13" t="inlineStr">
        <is>
          <t>PA4BADE8</t>
        </is>
      </c>
      <c r="B162" s="13">
        <f>VLOOKUP(A162,Table1[[#All],[Participant ID]:[Persona]],7,0)</f>
        <v/>
      </c>
      <c r="C162" s="15" t="inlineStr">
        <is>
          <t>2026-04-09T03:13:26</t>
        </is>
      </c>
      <c r="D162" s="13" t="inlineStr">
        <is>
          <t>P05</t>
        </is>
      </c>
      <c r="E162" s="13" t="inlineStr">
        <is>
          <t>Nannupalimpa_seg0235</t>
        </is>
      </c>
      <c r="F162" s="13" t="n">
        <v>5</v>
      </c>
      <c r="G162" s="13" t="inlineStr">
        <is>
          <t>audio/pairwise/Nannupalimpa_seg0235-baseline_20s.wav</t>
        </is>
      </c>
      <c r="H162" s="13" t="inlineStr">
        <is>
          <t>audio/pairwise/Nannupalimpa_seg0235-finetuned_20s.wav</t>
        </is>
      </c>
      <c r="I162" s="13" t="inlineStr">
        <is>
          <t>baseline</t>
        </is>
      </c>
      <c r="J162" s="13" t="inlineStr">
        <is>
          <t>finetuned</t>
        </is>
      </c>
      <c r="K162" s="13" t="inlineStr">
        <is>
          <t>B</t>
        </is>
      </c>
      <c r="L162" s="13" t="inlineStr">
        <is>
          <t>B</t>
        </is>
      </c>
      <c r="M162" s="13" t="inlineStr">
        <is>
          <t>B</t>
        </is>
      </c>
      <c r="N162" s="13">
        <f>IF(K162="A", I162, J162)</f>
        <v/>
      </c>
      <c r="O162" s="13">
        <f>IF(L162="A", I162, J162)</f>
        <v/>
      </c>
      <c r="P162" s="13">
        <f>IF(M162="A", I162, J162)</f>
        <v/>
      </c>
      <c r="Q162" s="13" t="n"/>
      <c r="R162" s="13" t="inlineStr">
        <is>
          <t>Percussion - Mirudhangam</t>
        </is>
      </c>
      <c r="S162" s="13" t="inlineStr">
        <is>
          <t>test</t>
        </is>
      </c>
      <c r="T162" s="13" t="n"/>
    </row>
    <row r="163" ht="15" customHeight="1">
      <c r="A163" s="13" t="inlineStr">
        <is>
          <t>PA4BADE8</t>
        </is>
      </c>
      <c r="B163" s="13">
        <f>VLOOKUP(A163,Table1[[#All],[Participant ID]:[Persona]],7,0)</f>
        <v/>
      </c>
      <c r="C163" s="15" t="inlineStr">
        <is>
          <t>2026-04-09T03:13:26</t>
        </is>
      </c>
      <c r="D163" s="13" t="inlineStr">
        <is>
          <t>P06</t>
        </is>
      </c>
      <c r="E163" s="13" t="inlineStr">
        <is>
          <t>Seshachala_Nayakam_seg0142</t>
        </is>
      </c>
      <c r="F163" s="13" t="n">
        <v>6</v>
      </c>
      <c r="G163" s="13" t="inlineStr">
        <is>
          <t>audio/pairwise/Seshachala_Nayakam_seg0142-baseline_20s.wav</t>
        </is>
      </c>
      <c r="H163" s="13" t="inlineStr">
        <is>
          <t>audio/pairwise/Seshachala_Nayakam_seg0142-finetuned_20s.wav</t>
        </is>
      </c>
      <c r="I163" s="13" t="inlineStr">
        <is>
          <t>baseline</t>
        </is>
      </c>
      <c r="J163" s="13" t="inlineStr">
        <is>
          <t>finetuned</t>
        </is>
      </c>
      <c r="K163" s="13" t="inlineStr">
        <is>
          <t>B</t>
        </is>
      </c>
      <c r="L163" s="13" t="inlineStr">
        <is>
          <t>B</t>
        </is>
      </c>
      <c r="M163" s="13" t="inlineStr">
        <is>
          <t>B</t>
        </is>
      </c>
      <c r="N163" s="13">
        <f>IF(K163="A", I163, J163)</f>
        <v/>
      </c>
      <c r="O163" s="13">
        <f>IF(L163="A", I163, J163)</f>
        <v/>
      </c>
      <c r="P163" s="13">
        <f>IF(M163="A", I163, J163)</f>
        <v/>
      </c>
      <c r="Q163" s="13" t="n"/>
      <c r="R163" s="13" t="inlineStr">
        <is>
          <t>Instrumental - Violin</t>
        </is>
      </c>
      <c r="S163" s="13" t="inlineStr">
        <is>
          <t>test</t>
        </is>
      </c>
      <c r="T163" s="13" t="n"/>
    </row>
    <row r="164" ht="15" customHeight="1">
      <c r="A164" s="13" t="inlineStr">
        <is>
          <t>PA6BCE9E</t>
        </is>
      </c>
      <c r="B164" s="13">
        <f>VLOOKUP(A164,Table1[[#All],[Participant ID]:[Persona]],7,0)</f>
        <v/>
      </c>
      <c r="C164" s="15" t="inlineStr">
        <is>
          <t>2026-04-10T22:49:05</t>
        </is>
      </c>
      <c r="D164" s="13" t="inlineStr">
        <is>
          <t>P02</t>
        </is>
      </c>
      <c r="E164" s="13" t="inlineStr">
        <is>
          <t>Raksha_Bettare_seg0201</t>
        </is>
      </c>
      <c r="F164" s="13" t="n">
        <v>1</v>
      </c>
      <c r="G164" s="13" t="inlineStr">
        <is>
          <t>audio/pairwise/Raksha_Bettare_seg0201-finetuned_20s.wav</t>
        </is>
      </c>
      <c r="H164" s="13" t="inlineStr">
        <is>
          <t>audio/pairwise/Raksha_Bettare_seg0201-baseline_20s.wav</t>
        </is>
      </c>
      <c r="I164" s="13" t="inlineStr">
        <is>
          <t>finetuned</t>
        </is>
      </c>
      <c r="J164" s="13" t="inlineStr">
        <is>
          <t>baseline</t>
        </is>
      </c>
      <c r="K164" s="13" t="inlineStr">
        <is>
          <t>A</t>
        </is>
      </c>
      <c r="L164" s="13" t="inlineStr">
        <is>
          <t>A</t>
        </is>
      </c>
      <c r="M164" s="13" t="inlineStr">
        <is>
          <t>A</t>
        </is>
      </c>
      <c r="N164" s="13">
        <f>IF(K164="A", I164, J164)</f>
        <v/>
      </c>
      <c r="O164" s="13">
        <f>IF(L164="A", I164, J164)</f>
        <v/>
      </c>
      <c r="P164" s="13">
        <f>IF(M164="A", I164, J164)</f>
        <v/>
      </c>
      <c r="Q164" s="13" t="n"/>
      <c r="R164" s="13" t="inlineStr">
        <is>
          <t>Vocal</t>
        </is>
      </c>
      <c r="S164" s="13" t="inlineStr">
        <is>
          <t>test</t>
        </is>
      </c>
      <c r="T164" s="13" t="n"/>
    </row>
    <row r="165" ht="15" customHeight="1">
      <c r="A165" s="13" t="inlineStr">
        <is>
          <t>PA6BCE9E</t>
        </is>
      </c>
      <c r="B165" s="13">
        <f>VLOOKUP(A165,Table1[[#All],[Participant ID]:[Persona]],7,0)</f>
        <v/>
      </c>
      <c r="C165" s="15" t="inlineStr">
        <is>
          <t>2026-04-10T22:49:05</t>
        </is>
      </c>
      <c r="D165" s="13" t="inlineStr">
        <is>
          <t>P05</t>
        </is>
      </c>
      <c r="E165" s="13" t="inlineStr">
        <is>
          <t>Nannupalimpa_seg0235</t>
        </is>
      </c>
      <c r="F165" s="13" t="n">
        <v>2</v>
      </c>
      <c r="G165" s="13" t="inlineStr">
        <is>
          <t>audio/pairwise/Nannupalimpa_seg0235-baseline_20s.wav</t>
        </is>
      </c>
      <c r="H165" s="13" t="inlineStr">
        <is>
          <t>audio/pairwise/Nannupalimpa_seg0235-finetuned_20s.wav</t>
        </is>
      </c>
      <c r="I165" s="13" t="inlineStr">
        <is>
          <t>baseline</t>
        </is>
      </c>
      <c r="J165" s="13" t="inlineStr">
        <is>
          <t>finetuned</t>
        </is>
      </c>
      <c r="K165" s="13" t="inlineStr">
        <is>
          <t>B</t>
        </is>
      </c>
      <c r="L165" s="13" t="inlineStr">
        <is>
          <t>B</t>
        </is>
      </c>
      <c r="M165" s="13" t="inlineStr">
        <is>
          <t>B</t>
        </is>
      </c>
      <c r="N165" s="13">
        <f>IF(K165="A", I165, J165)</f>
        <v/>
      </c>
      <c r="O165" s="13">
        <f>IF(L165="A", I165, J165)</f>
        <v/>
      </c>
      <c r="P165" s="13">
        <f>IF(M165="A", I165, J165)</f>
        <v/>
      </c>
      <c r="Q165" s="13" t="n"/>
      <c r="R165" s="13" t="inlineStr">
        <is>
          <t>Percussion - Mirudhangam</t>
        </is>
      </c>
      <c r="S165" s="13" t="inlineStr">
        <is>
          <t>test</t>
        </is>
      </c>
      <c r="T165" s="13" t="n"/>
    </row>
    <row r="166" ht="15" customHeight="1">
      <c r="A166" s="13" t="inlineStr">
        <is>
          <t>PA6BCE9E</t>
        </is>
      </c>
      <c r="B166" s="13">
        <f>VLOOKUP(A166,Table1[[#All],[Participant ID]:[Persona]],7,0)</f>
        <v/>
      </c>
      <c r="C166" s="15" t="inlineStr">
        <is>
          <t>2026-04-10T22:49:05</t>
        </is>
      </c>
      <c r="D166" s="13" t="inlineStr">
        <is>
          <t>P06</t>
        </is>
      </c>
      <c r="E166" s="13" t="inlineStr">
        <is>
          <t>Seshachala_Nayakam_seg0142</t>
        </is>
      </c>
      <c r="F166" s="13" t="n">
        <v>3</v>
      </c>
      <c r="G166" s="13" t="inlineStr">
        <is>
          <t>audio/pairwise/Seshachala_Nayakam_seg0142-baseline_20s.wav</t>
        </is>
      </c>
      <c r="H166" s="13" t="inlineStr">
        <is>
          <t>audio/pairwise/Seshachala_Nayakam_seg0142-finetuned_20s.wav</t>
        </is>
      </c>
      <c r="I166" s="13" t="inlineStr">
        <is>
          <t>baseline</t>
        </is>
      </c>
      <c r="J166" s="13" t="inlineStr">
        <is>
          <t>finetuned</t>
        </is>
      </c>
      <c r="K166" s="13" t="inlineStr">
        <is>
          <t>B</t>
        </is>
      </c>
      <c r="L166" s="13" t="inlineStr">
        <is>
          <t>B</t>
        </is>
      </c>
      <c r="M166" s="13" t="inlineStr">
        <is>
          <t>B</t>
        </is>
      </c>
      <c r="N166" s="13">
        <f>IF(K166="A", I166, J166)</f>
        <v/>
      </c>
      <c r="O166" s="13">
        <f>IF(L166="A", I166, J166)</f>
        <v/>
      </c>
      <c r="P166" s="13">
        <f>IF(M166="A", I166, J166)</f>
        <v/>
      </c>
      <c r="Q166" s="13" t="n"/>
      <c r="R166" s="13" t="inlineStr">
        <is>
          <t>Instrumental - Violin</t>
        </is>
      </c>
      <c r="S166" s="13" t="inlineStr">
        <is>
          <t>test</t>
        </is>
      </c>
      <c r="T166" s="13" t="n"/>
    </row>
    <row r="167" ht="15" customHeight="1">
      <c r="A167" s="13" t="inlineStr">
        <is>
          <t>PA6BCE9E</t>
        </is>
      </c>
      <c r="B167" s="13">
        <f>VLOOKUP(A167,Table1[[#All],[Participant ID]:[Persona]],7,0)</f>
        <v/>
      </c>
      <c r="C167" s="15" t="inlineStr">
        <is>
          <t>2026-04-10T22:49:05</t>
        </is>
      </c>
      <c r="D167" s="13" t="inlineStr">
        <is>
          <t>P04</t>
        </is>
      </c>
      <c r="E167" s="13" t="inlineStr">
        <is>
          <t>Deva_Deva_Jagadeesha_seg0006</t>
        </is>
      </c>
      <c r="F167" s="13" t="n">
        <v>4</v>
      </c>
      <c r="G167" s="13" t="inlineStr">
        <is>
          <t>audio/pairwise/Deva_Deva_Jagadeesha_seg0006-finetuned_20s.wav</t>
        </is>
      </c>
      <c r="H167" s="13" t="inlineStr">
        <is>
          <t>audio/pairwise/Deva_Deva_Jagadeesha_seg0006-baseline_20s.wav</t>
        </is>
      </c>
      <c r="I167" s="13" t="inlineStr">
        <is>
          <t>finetuned</t>
        </is>
      </c>
      <c r="J167" s="13" t="inlineStr">
        <is>
          <t>baseline</t>
        </is>
      </c>
      <c r="K167" s="13" t="inlineStr">
        <is>
          <t>A</t>
        </is>
      </c>
      <c r="L167" s="13" t="inlineStr">
        <is>
          <t>A</t>
        </is>
      </c>
      <c r="M167" s="13" t="inlineStr">
        <is>
          <t>A</t>
        </is>
      </c>
      <c r="N167" s="13">
        <f>IF(K167="A", I167, J167)</f>
        <v/>
      </c>
      <c r="O167" s="13">
        <f>IF(L167="A", I167, J167)</f>
        <v/>
      </c>
      <c r="P167" s="13">
        <f>IF(M167="A", I167, J167)</f>
        <v/>
      </c>
      <c r="Q167" s="13" t="n"/>
      <c r="R167" s="13" t="inlineStr">
        <is>
          <t>Instrumental - Violin</t>
        </is>
      </c>
      <c r="S167" s="13" t="inlineStr">
        <is>
          <t>test</t>
        </is>
      </c>
      <c r="T167" s="13" t="n"/>
    </row>
    <row r="168" ht="15" customHeight="1">
      <c r="A168" s="13" t="inlineStr">
        <is>
          <t>PA6BCE9E</t>
        </is>
      </c>
      <c r="B168" s="13">
        <f>VLOOKUP(A168,Table1[[#All],[Participant ID]:[Persona]],7,0)</f>
        <v/>
      </c>
      <c r="C168" s="15" t="inlineStr">
        <is>
          <t>2026-04-10T22:49:05</t>
        </is>
      </c>
      <c r="D168" s="13" t="inlineStr">
        <is>
          <t>P03</t>
        </is>
      </c>
      <c r="E168" s="13" t="inlineStr">
        <is>
          <t>Ramanatham_Bhajeham_seg0029</t>
        </is>
      </c>
      <c r="F168" s="13" t="n">
        <v>5</v>
      </c>
      <c r="G168" s="13" t="inlineStr">
        <is>
          <t>audio/pairwise/Ramanatham_Bhajeham_seg0029-finetuned_20s.wav</t>
        </is>
      </c>
      <c r="H168" s="13" t="inlineStr">
        <is>
          <t>audio/pairwise/Ramanatham_Bhajeham_seg0029-baseline_20s.wav</t>
        </is>
      </c>
      <c r="I168" s="13" t="inlineStr">
        <is>
          <t>finetuned</t>
        </is>
      </c>
      <c r="J168" s="13" t="inlineStr">
        <is>
          <t>baseline</t>
        </is>
      </c>
      <c r="K168" s="13" t="inlineStr">
        <is>
          <t>B</t>
        </is>
      </c>
      <c r="L168" s="13" t="inlineStr">
        <is>
          <t>B</t>
        </is>
      </c>
      <c r="M168" s="13" t="inlineStr">
        <is>
          <t>B</t>
        </is>
      </c>
      <c r="N168" s="13">
        <f>IF(K168="A", I168, J168)</f>
        <v/>
      </c>
      <c r="O168" s="13">
        <f>IF(L168="A", I168, J168)</f>
        <v/>
      </c>
      <c r="P168" s="13">
        <f>IF(M168="A", I168, J168)</f>
        <v/>
      </c>
      <c r="Q168" s="13" t="inlineStr">
        <is>
          <t>I felt both clips didnt have a smoother continuation. Clip A just seems to be like noise and clip B in its last 10 secs sems to just be playing  a single tune. But Clip B is better and hence the choices I made because it seems to be more carnatic music and not like noise.</t>
        </is>
      </c>
      <c r="R168" s="13" t="inlineStr">
        <is>
          <t>Vocal</t>
        </is>
      </c>
      <c r="S168" s="13" t="inlineStr">
        <is>
          <t>test</t>
        </is>
      </c>
      <c r="T168" s="13" t="n"/>
    </row>
    <row r="169" ht="15" customHeight="1">
      <c r="A169" s="13" t="inlineStr">
        <is>
          <t>PA6BCE9E</t>
        </is>
      </c>
      <c r="B169" s="13">
        <f>VLOOKUP(A169,Table1[[#All],[Participant ID]:[Persona]],7,0)</f>
        <v/>
      </c>
      <c r="C169" s="15" t="inlineStr">
        <is>
          <t>2026-04-10T22:49:05</t>
        </is>
      </c>
      <c r="D169" s="13" t="inlineStr">
        <is>
          <t>P01</t>
        </is>
      </c>
      <c r="E169" s="13" t="inlineStr">
        <is>
          <t>Karpagambike_seg0044</t>
        </is>
      </c>
      <c r="F169" s="13" t="n">
        <v>6</v>
      </c>
      <c r="G169" s="13" t="inlineStr">
        <is>
          <t>audio/pairwise/Karpagambike_seg0044-baseline_20s.wav</t>
        </is>
      </c>
      <c r="H169" s="13" t="inlineStr">
        <is>
          <t>audio/pairwise/Karpagambike_seg0044-finetuned_20s.wav</t>
        </is>
      </c>
      <c r="I169" s="13" t="inlineStr">
        <is>
          <t>baseline</t>
        </is>
      </c>
      <c r="J169" s="13" t="inlineStr">
        <is>
          <t>finetuned</t>
        </is>
      </c>
      <c r="K169" s="13" t="inlineStr">
        <is>
          <t>A</t>
        </is>
      </c>
      <c r="L169" s="13" t="inlineStr">
        <is>
          <t>A</t>
        </is>
      </c>
      <c r="M169" s="13" t="inlineStr">
        <is>
          <t>A</t>
        </is>
      </c>
      <c r="N169" s="13">
        <f>IF(K169="A", I169, J169)</f>
        <v/>
      </c>
      <c r="O169" s="13">
        <f>IF(L169="A", I169, J169)</f>
        <v/>
      </c>
      <c r="P169" s="13">
        <f>IF(M169="A", I169, J169)</f>
        <v/>
      </c>
      <c r="Q169" s="13" t="n"/>
      <c r="R169" s="13" t="inlineStr">
        <is>
          <t>Vocal</t>
        </is>
      </c>
      <c r="S169" s="13" t="inlineStr">
        <is>
          <t>test</t>
        </is>
      </c>
      <c r="T169" s="13" t="n"/>
    </row>
    <row r="170" ht="15" customHeight="1">
      <c r="A170" s="13" t="inlineStr">
        <is>
          <t>PA4217ED</t>
        </is>
      </c>
      <c r="B170" s="13">
        <f>VLOOKUP(A170,Table1[[#All],[Participant ID]:[Persona]],7,0)</f>
        <v/>
      </c>
      <c r="C170" s="15" t="inlineStr">
        <is>
          <t>2026-04-13T12:55:49</t>
        </is>
      </c>
      <c r="D170" s="13" t="inlineStr">
        <is>
          <t>P06</t>
        </is>
      </c>
      <c r="E170" s="13" t="inlineStr">
        <is>
          <t>Seshachala_Nayakam_seg0142</t>
        </is>
      </c>
      <c r="F170" s="13" t="n">
        <v>1</v>
      </c>
      <c r="G170" s="13" t="inlineStr">
        <is>
          <t>audio/pairwise/Seshachala_Nayakam_seg0142-baseline_20s.wav</t>
        </is>
      </c>
      <c r="H170" s="13" t="inlineStr">
        <is>
          <t>audio/pairwise/Seshachala_Nayakam_seg0142-finetuned_20s.wav</t>
        </is>
      </c>
      <c r="I170" s="13" t="inlineStr">
        <is>
          <t>baseline</t>
        </is>
      </c>
      <c r="J170" s="13" t="inlineStr">
        <is>
          <t>finetuned</t>
        </is>
      </c>
      <c r="K170" s="13" t="inlineStr">
        <is>
          <t>B</t>
        </is>
      </c>
      <c r="L170" s="13" t="inlineStr">
        <is>
          <t>B</t>
        </is>
      </c>
      <c r="M170" s="13" t="inlineStr">
        <is>
          <t>B</t>
        </is>
      </c>
      <c r="N170" s="13">
        <f>IF(K170="A", I170, J170)</f>
        <v/>
      </c>
      <c r="O170" s="13">
        <f>IF(L170="A", I170, J170)</f>
        <v/>
      </c>
      <c r="P170" s="13">
        <f>IF(M170="A", I170, J170)</f>
        <v/>
      </c>
      <c r="Q170" s="13" t="n"/>
      <c r="R170" s="13" t="inlineStr">
        <is>
          <t>Instrumental - Violin</t>
        </is>
      </c>
      <c r="S170" s="13" t="inlineStr">
        <is>
          <t>test</t>
        </is>
      </c>
      <c r="T170" s="13" t="n"/>
    </row>
    <row r="171" ht="15" customHeight="1">
      <c r="A171" s="13" t="inlineStr">
        <is>
          <t>PA4217ED</t>
        </is>
      </c>
      <c r="B171" s="13">
        <f>VLOOKUP(A171,Table1[[#All],[Participant ID]:[Persona]],7,0)</f>
        <v/>
      </c>
      <c r="C171" s="15" t="inlineStr">
        <is>
          <t>2026-04-13T12:55:49</t>
        </is>
      </c>
      <c r="D171" s="13" t="inlineStr">
        <is>
          <t>P01</t>
        </is>
      </c>
      <c r="E171" s="13" t="inlineStr">
        <is>
          <t>Karpagambike_seg0044</t>
        </is>
      </c>
      <c r="F171" s="13" t="n">
        <v>2</v>
      </c>
      <c r="G171" s="13" t="inlineStr">
        <is>
          <t>audio/pairwise/Karpagambike_seg0044-baseline_20s.wav</t>
        </is>
      </c>
      <c r="H171" s="13" t="inlineStr">
        <is>
          <t>audio/pairwise/Karpagambike_seg0044-finetuned_20s.wav</t>
        </is>
      </c>
      <c r="I171" s="13" t="inlineStr">
        <is>
          <t>baseline</t>
        </is>
      </c>
      <c r="J171" s="13" t="inlineStr">
        <is>
          <t>finetuned</t>
        </is>
      </c>
      <c r="K171" s="13" t="inlineStr">
        <is>
          <t>A</t>
        </is>
      </c>
      <c r="L171" s="13" t="inlineStr">
        <is>
          <t>A</t>
        </is>
      </c>
      <c r="M171" s="13" t="inlineStr">
        <is>
          <t>A</t>
        </is>
      </c>
      <c r="N171" s="13">
        <f>IF(K171="A", I171, J171)</f>
        <v/>
      </c>
      <c r="O171" s="13">
        <f>IF(L171="A", I171, J171)</f>
        <v/>
      </c>
      <c r="P171" s="13">
        <f>IF(M171="A", I171, J171)</f>
        <v/>
      </c>
      <c r="Q171" s="13" t="n"/>
      <c r="R171" s="13" t="inlineStr">
        <is>
          <t>Vocal</t>
        </is>
      </c>
      <c r="S171" s="13" t="inlineStr">
        <is>
          <t>test</t>
        </is>
      </c>
      <c r="T171" s="13" t="n"/>
    </row>
    <row r="172" ht="15" customHeight="1">
      <c r="A172" s="13" t="inlineStr">
        <is>
          <t>PA4217ED</t>
        </is>
      </c>
      <c r="B172" s="13">
        <f>VLOOKUP(A172,Table1[[#All],[Participant ID]:[Persona]],7,0)</f>
        <v/>
      </c>
      <c r="C172" s="15" t="inlineStr">
        <is>
          <t>2026-04-13T12:55:49</t>
        </is>
      </c>
      <c r="D172" s="13" t="inlineStr">
        <is>
          <t>P04</t>
        </is>
      </c>
      <c r="E172" s="13" t="inlineStr">
        <is>
          <t>Deva_Deva_Jagadeesha_seg0006</t>
        </is>
      </c>
      <c r="F172" s="13" t="n">
        <v>3</v>
      </c>
      <c r="G172" s="13" t="inlineStr">
        <is>
          <t>audio/pairwise/Deva_Deva_Jagadeesha_seg0006-baseline_20s.wav</t>
        </is>
      </c>
      <c r="H172" s="13" t="inlineStr">
        <is>
          <t>audio/pairwise/Deva_Deva_Jagadeesha_seg0006-finetuned_20s.wav</t>
        </is>
      </c>
      <c r="I172" s="13" t="inlineStr">
        <is>
          <t>baseline</t>
        </is>
      </c>
      <c r="J172" s="13" t="inlineStr">
        <is>
          <t>finetuned</t>
        </is>
      </c>
      <c r="K172" s="13" t="inlineStr">
        <is>
          <t>B</t>
        </is>
      </c>
      <c r="L172" s="13" t="inlineStr">
        <is>
          <t>B</t>
        </is>
      </c>
      <c r="M172" s="13" t="inlineStr">
        <is>
          <t>B</t>
        </is>
      </c>
      <c r="N172" s="13">
        <f>IF(K172="A", I172, J172)</f>
        <v/>
      </c>
      <c r="O172" s="13">
        <f>IF(L172="A", I172, J172)</f>
        <v/>
      </c>
      <c r="P172" s="13">
        <f>IF(M172="A", I172, J172)</f>
        <v/>
      </c>
      <c r="Q172" s="13" t="n"/>
      <c r="R172" s="13" t="inlineStr">
        <is>
          <t>Instrumental - Violin</t>
        </is>
      </c>
      <c r="S172" s="13" t="inlineStr">
        <is>
          <t>test</t>
        </is>
      </c>
      <c r="T172" s="13" t="n"/>
    </row>
    <row r="173" ht="15" customHeight="1">
      <c r="A173" s="13" t="inlineStr">
        <is>
          <t>PA4217ED</t>
        </is>
      </c>
      <c r="B173" s="13">
        <f>VLOOKUP(A173,Table1[[#All],[Participant ID]:[Persona]],7,0)</f>
        <v/>
      </c>
      <c r="C173" s="15" t="inlineStr">
        <is>
          <t>2026-04-13T12:55:49</t>
        </is>
      </c>
      <c r="D173" s="13" t="inlineStr">
        <is>
          <t>P05</t>
        </is>
      </c>
      <c r="E173" s="13" t="inlineStr">
        <is>
          <t>Nannupalimpa_seg0235</t>
        </is>
      </c>
      <c r="F173" s="13" t="n">
        <v>4</v>
      </c>
      <c r="G173" s="13" t="inlineStr">
        <is>
          <t>audio/pairwise/Nannupalimpa_seg0235-baseline_20s.wav</t>
        </is>
      </c>
      <c r="H173" s="13" t="inlineStr">
        <is>
          <t>audio/pairwise/Nannupalimpa_seg0235-finetuned_20s.wav</t>
        </is>
      </c>
      <c r="I173" s="13" t="inlineStr">
        <is>
          <t>baseline</t>
        </is>
      </c>
      <c r="J173" s="13" t="inlineStr">
        <is>
          <t>finetuned</t>
        </is>
      </c>
      <c r="K173" s="13" t="inlineStr">
        <is>
          <t>B</t>
        </is>
      </c>
      <c r="L173" s="13" t="inlineStr">
        <is>
          <t>B</t>
        </is>
      </c>
      <c r="M173" s="13" t="inlineStr">
        <is>
          <t>B</t>
        </is>
      </c>
      <c r="N173" s="13">
        <f>IF(K173="A", I173, J173)</f>
        <v/>
      </c>
      <c r="O173" s="13">
        <f>IF(L173="A", I173, J173)</f>
        <v/>
      </c>
      <c r="P173" s="13">
        <f>IF(M173="A", I173, J173)</f>
        <v/>
      </c>
      <c r="Q173" s="13" t="n"/>
      <c r="R173" s="13" t="inlineStr">
        <is>
          <t>Percussion - Mirudhangam</t>
        </is>
      </c>
      <c r="S173" s="13" t="inlineStr">
        <is>
          <t>test</t>
        </is>
      </c>
      <c r="T173" s="13" t="n"/>
    </row>
    <row r="174" ht="15" customHeight="1">
      <c r="A174" s="13" t="inlineStr">
        <is>
          <t>PA4217ED</t>
        </is>
      </c>
      <c r="B174" s="13">
        <f>VLOOKUP(A174,Table1[[#All],[Participant ID]:[Persona]],7,0)</f>
        <v/>
      </c>
      <c r="C174" s="15" t="inlineStr">
        <is>
          <t>2026-04-13T12:55:49</t>
        </is>
      </c>
      <c r="D174" s="13" t="inlineStr">
        <is>
          <t>P03</t>
        </is>
      </c>
      <c r="E174" s="13" t="inlineStr">
        <is>
          <t>Ramanatham_Bhajeham_seg0029</t>
        </is>
      </c>
      <c r="F174" s="13" t="n">
        <v>5</v>
      </c>
      <c r="G174" s="13" t="inlineStr">
        <is>
          <t>audio/pairwise/Ramanatham_Bhajeham_seg0029-baseline_20s.wav</t>
        </is>
      </c>
      <c r="H174" s="13" t="inlineStr">
        <is>
          <t>audio/pairwise/Ramanatham_Bhajeham_seg0029-finetuned_20s.wav</t>
        </is>
      </c>
      <c r="I174" s="13" t="inlineStr">
        <is>
          <t>baseline</t>
        </is>
      </c>
      <c r="J174" s="13" t="inlineStr">
        <is>
          <t>finetuned</t>
        </is>
      </c>
      <c r="K174" s="13" t="inlineStr">
        <is>
          <t>A</t>
        </is>
      </c>
      <c r="L174" s="13" t="inlineStr">
        <is>
          <t>A</t>
        </is>
      </c>
      <c r="M174" s="13" t="inlineStr">
        <is>
          <t>A</t>
        </is>
      </c>
      <c r="N174" s="13">
        <f>IF(K174="A", I174, J174)</f>
        <v/>
      </c>
      <c r="O174" s="13">
        <f>IF(L174="A", I174, J174)</f>
        <v/>
      </c>
      <c r="P174" s="13">
        <f>IF(M174="A", I174, J174)</f>
        <v/>
      </c>
      <c r="Q174" s="13" t="n"/>
      <c r="R174" s="13" t="inlineStr">
        <is>
          <t>Vocal</t>
        </is>
      </c>
      <c r="S174" s="13" t="inlineStr">
        <is>
          <t>test</t>
        </is>
      </c>
      <c r="T174" s="13" t="n"/>
    </row>
    <row r="175" ht="15" customHeight="1">
      <c r="A175" s="13" t="inlineStr">
        <is>
          <t>PA4217ED</t>
        </is>
      </c>
      <c r="B175" s="13">
        <f>VLOOKUP(A175,Table1[[#All],[Participant ID]:[Persona]],7,0)</f>
        <v/>
      </c>
      <c r="C175" s="15" t="inlineStr">
        <is>
          <t>2026-04-13T12:55:49</t>
        </is>
      </c>
      <c r="D175" s="13" t="inlineStr">
        <is>
          <t>P02</t>
        </is>
      </c>
      <c r="E175" s="13" t="inlineStr">
        <is>
          <t>Raksha_Bettare_seg0201</t>
        </is>
      </c>
      <c r="F175" s="13" t="n">
        <v>6</v>
      </c>
      <c r="G175" s="13" t="inlineStr">
        <is>
          <t>audio/pairwise/Raksha_Bettare_seg0201-finetuned_20s.wav</t>
        </is>
      </c>
      <c r="H175" s="13" t="inlineStr">
        <is>
          <t>audio/pairwise/Raksha_Bettare_seg0201-baseline_20s.wav</t>
        </is>
      </c>
      <c r="I175" s="13" t="inlineStr">
        <is>
          <t>finetuned</t>
        </is>
      </c>
      <c r="J175" s="13" t="inlineStr">
        <is>
          <t>baseline</t>
        </is>
      </c>
      <c r="K175" s="13" t="inlineStr">
        <is>
          <t>B</t>
        </is>
      </c>
      <c r="L175" s="13" t="inlineStr">
        <is>
          <t>B</t>
        </is>
      </c>
      <c r="M175" s="13" t="inlineStr">
        <is>
          <t>B</t>
        </is>
      </c>
      <c r="N175" s="13">
        <f>IF(K175="A", I175, J175)</f>
        <v/>
      </c>
      <c r="O175" s="13">
        <f>IF(L175="A", I175, J175)</f>
        <v/>
      </c>
      <c r="P175" s="13">
        <f>IF(M175="A", I175, J175)</f>
        <v/>
      </c>
      <c r="Q175" s="13" t="n"/>
      <c r="R175" s="13" t="inlineStr">
        <is>
          <t>Vocal</t>
        </is>
      </c>
      <c r="S175" s="13" t="inlineStr">
        <is>
          <t>test</t>
        </is>
      </c>
      <c r="T175" s="13" t="n"/>
    </row>
    <row r="176" ht="15" customHeight="1">
      <c r="A176" s="13" t="inlineStr">
        <is>
          <t>PAB26C73</t>
        </is>
      </c>
      <c r="B176" s="13">
        <f>VLOOKUP(A176,Table1[[#All],[Participant ID]:[Persona]],7,0)</f>
        <v/>
      </c>
      <c r="C176" s="15" t="inlineStr">
        <is>
          <t>2026-04-14T14:23:14</t>
        </is>
      </c>
      <c r="D176" s="13" t="inlineStr">
        <is>
          <t>P04</t>
        </is>
      </c>
      <c r="E176" s="13" t="inlineStr">
        <is>
          <t>Deva_Deva_Jagadeesha_seg0006</t>
        </is>
      </c>
      <c r="F176" s="13" t="n">
        <v>1</v>
      </c>
      <c r="G176" s="13" t="inlineStr">
        <is>
          <t>audio/pairwise/Deva_Deva_Jagadeesha_seg0006-baseline_20s.wav</t>
        </is>
      </c>
      <c r="H176" s="13" t="inlineStr">
        <is>
          <t>audio/pairwise/Deva_Deva_Jagadeesha_seg0006-finetuned_20s.wav</t>
        </is>
      </c>
      <c r="I176" s="13" t="inlineStr">
        <is>
          <t>baseline</t>
        </is>
      </c>
      <c r="J176" s="13" t="inlineStr">
        <is>
          <t>finetuned</t>
        </is>
      </c>
      <c r="K176" s="13" t="inlineStr">
        <is>
          <t>B</t>
        </is>
      </c>
      <c r="L176" s="13" t="inlineStr">
        <is>
          <t>B</t>
        </is>
      </c>
      <c r="M176" s="13" t="inlineStr">
        <is>
          <t>B</t>
        </is>
      </c>
      <c r="N176" s="13">
        <f>IF(K176="A", I176, J176)</f>
        <v/>
      </c>
      <c r="O176" s="13">
        <f>IF(L176="A", I176, J176)</f>
        <v/>
      </c>
      <c r="P176" s="13">
        <f>IF(M176="A", I176, J176)</f>
        <v/>
      </c>
      <c r="Q176" s="13" t="n"/>
      <c r="R176" s="13" t="inlineStr">
        <is>
          <t>Instrumental - Violin</t>
        </is>
      </c>
      <c r="S176" s="13" t="inlineStr">
        <is>
          <t>test</t>
        </is>
      </c>
      <c r="T176" s="13" t="n"/>
    </row>
    <row r="177" ht="15" customHeight="1">
      <c r="A177" s="13" t="inlineStr">
        <is>
          <t>PAB26C73</t>
        </is>
      </c>
      <c r="B177" s="13">
        <f>VLOOKUP(A177,Table1[[#All],[Participant ID]:[Persona]],7,0)</f>
        <v/>
      </c>
      <c r="C177" s="15" t="inlineStr">
        <is>
          <t>2026-04-14T14:23:14</t>
        </is>
      </c>
      <c r="D177" s="13" t="inlineStr">
        <is>
          <t>P03</t>
        </is>
      </c>
      <c r="E177" s="13" t="inlineStr">
        <is>
          <t>Ramanatham_Bhajeham_seg0029</t>
        </is>
      </c>
      <c r="F177" s="13" t="n">
        <v>2</v>
      </c>
      <c r="G177" s="13" t="inlineStr">
        <is>
          <t>audio/pairwise/Ramanatham_Bhajeham_seg0029-baseline_20s.wav</t>
        </is>
      </c>
      <c r="H177" s="13" t="inlineStr">
        <is>
          <t>audio/pairwise/Ramanatham_Bhajeham_seg0029-finetuned_20s.wav</t>
        </is>
      </c>
      <c r="I177" s="13" t="inlineStr">
        <is>
          <t>baseline</t>
        </is>
      </c>
      <c r="J177" s="13" t="inlineStr">
        <is>
          <t>finetuned</t>
        </is>
      </c>
      <c r="K177" s="13" t="inlineStr">
        <is>
          <t>B</t>
        </is>
      </c>
      <c r="L177" s="13" t="inlineStr">
        <is>
          <t>B</t>
        </is>
      </c>
      <c r="M177" s="13" t="inlineStr">
        <is>
          <t>B</t>
        </is>
      </c>
      <c r="N177" s="13">
        <f>IF(K177="A", I177, J177)</f>
        <v/>
      </c>
      <c r="O177" s="13">
        <f>IF(L177="A", I177, J177)</f>
        <v/>
      </c>
      <c r="P177" s="13">
        <f>IF(M177="A", I177, J177)</f>
        <v/>
      </c>
      <c r="Q177" s="13" t="n"/>
      <c r="R177" s="13" t="inlineStr">
        <is>
          <t>Vocal</t>
        </is>
      </c>
      <c r="S177" s="13" t="inlineStr">
        <is>
          <t>test</t>
        </is>
      </c>
      <c r="T177" s="13" t="n"/>
    </row>
    <row r="178" ht="15" customHeight="1">
      <c r="A178" s="13" t="inlineStr">
        <is>
          <t>PAB26C73</t>
        </is>
      </c>
      <c r="B178" s="13">
        <f>VLOOKUP(A178,Table1[[#All],[Participant ID]:[Persona]],7,0)</f>
        <v/>
      </c>
      <c r="C178" s="15" t="inlineStr">
        <is>
          <t>2026-04-14T14:23:14</t>
        </is>
      </c>
      <c r="D178" s="13" t="inlineStr">
        <is>
          <t>P06</t>
        </is>
      </c>
      <c r="E178" s="13" t="inlineStr">
        <is>
          <t>Seshachala_Nayakam_seg0142</t>
        </is>
      </c>
      <c r="F178" s="13" t="n">
        <v>3</v>
      </c>
      <c r="G178" s="13" t="inlineStr">
        <is>
          <t>audio/pairwise/Seshachala_Nayakam_seg0142-baseline_20s.wav</t>
        </is>
      </c>
      <c r="H178" s="13" t="inlineStr">
        <is>
          <t>audio/pairwise/Seshachala_Nayakam_seg0142-finetuned_20s.wav</t>
        </is>
      </c>
      <c r="I178" s="13" t="inlineStr">
        <is>
          <t>baseline</t>
        </is>
      </c>
      <c r="J178" s="13" t="inlineStr">
        <is>
          <t>finetuned</t>
        </is>
      </c>
      <c r="K178" s="13" t="inlineStr">
        <is>
          <t>B</t>
        </is>
      </c>
      <c r="L178" s="13" t="inlineStr">
        <is>
          <t>B</t>
        </is>
      </c>
      <c r="M178" s="13" t="inlineStr">
        <is>
          <t>B</t>
        </is>
      </c>
      <c r="N178" s="13">
        <f>IF(K178="A", I178, J178)</f>
        <v/>
      </c>
      <c r="O178" s="13">
        <f>IF(L178="A", I178, J178)</f>
        <v/>
      </c>
      <c r="P178" s="13">
        <f>IF(M178="A", I178, J178)</f>
        <v/>
      </c>
      <c r="Q178" s="13" t="n"/>
      <c r="R178" s="13" t="inlineStr">
        <is>
          <t>Instrumental - Violin</t>
        </is>
      </c>
      <c r="S178" s="13" t="inlineStr">
        <is>
          <t>test</t>
        </is>
      </c>
      <c r="T178" s="13" t="n"/>
    </row>
    <row r="179" ht="15" customHeight="1">
      <c r="A179" s="13" t="inlineStr">
        <is>
          <t>PAB26C73</t>
        </is>
      </c>
      <c r="B179" s="13">
        <f>VLOOKUP(A179,Table1[[#All],[Participant ID]:[Persona]],7,0)</f>
        <v/>
      </c>
      <c r="C179" s="15" t="inlineStr">
        <is>
          <t>2026-04-14T14:23:14</t>
        </is>
      </c>
      <c r="D179" s="13" t="inlineStr">
        <is>
          <t>P02</t>
        </is>
      </c>
      <c r="E179" s="13" t="inlineStr">
        <is>
          <t>Raksha_Bettare_seg0201</t>
        </is>
      </c>
      <c r="F179" s="13" t="n">
        <v>4</v>
      </c>
      <c r="G179" s="13" t="inlineStr">
        <is>
          <t>audio/pairwise/Raksha_Bettare_seg0201-baseline_20s.wav</t>
        </is>
      </c>
      <c r="H179" s="13" t="inlineStr">
        <is>
          <t>audio/pairwise/Raksha_Bettare_seg0201-finetuned_20s.wav</t>
        </is>
      </c>
      <c r="I179" s="13" t="inlineStr">
        <is>
          <t>baseline</t>
        </is>
      </c>
      <c r="J179" s="13" t="inlineStr">
        <is>
          <t>finetuned</t>
        </is>
      </c>
      <c r="K179" s="13" t="inlineStr">
        <is>
          <t>A</t>
        </is>
      </c>
      <c r="L179" s="13" t="inlineStr">
        <is>
          <t>A</t>
        </is>
      </c>
      <c r="M179" s="13" t="inlineStr">
        <is>
          <t>A</t>
        </is>
      </c>
      <c r="N179" s="13">
        <f>IF(K179="A", I179, J179)</f>
        <v/>
      </c>
      <c r="O179" s="13">
        <f>IF(L179="A", I179, J179)</f>
        <v/>
      </c>
      <c r="P179" s="13">
        <f>IF(M179="A", I179, J179)</f>
        <v/>
      </c>
      <c r="Q179" s="13" t="n"/>
      <c r="R179" s="13" t="inlineStr">
        <is>
          <t>Vocal</t>
        </is>
      </c>
      <c r="S179" s="13" t="inlineStr">
        <is>
          <t>test</t>
        </is>
      </c>
      <c r="T179" s="13" t="n"/>
    </row>
    <row r="180" ht="15" customHeight="1">
      <c r="A180" s="13" t="inlineStr">
        <is>
          <t>PAB26C73</t>
        </is>
      </c>
      <c r="B180" s="13">
        <f>VLOOKUP(A180,Table1[[#All],[Participant ID]:[Persona]],7,0)</f>
        <v/>
      </c>
      <c r="C180" s="15" t="inlineStr">
        <is>
          <t>2026-04-14T14:23:14</t>
        </is>
      </c>
      <c r="D180" s="13" t="inlineStr">
        <is>
          <t>P05</t>
        </is>
      </c>
      <c r="E180" s="13" t="inlineStr">
        <is>
          <t>Nannupalimpa_seg0235</t>
        </is>
      </c>
      <c r="F180" s="13" t="n">
        <v>5</v>
      </c>
      <c r="G180" s="13" t="inlineStr">
        <is>
          <t>audio/pairwise/Nannupalimpa_seg0235-finetuned_20s.wav</t>
        </is>
      </c>
      <c r="H180" s="13" t="inlineStr">
        <is>
          <t>audio/pairwise/Nannupalimpa_seg0235-baseline_20s.wav</t>
        </is>
      </c>
      <c r="I180" s="13" t="inlineStr">
        <is>
          <t>finetuned</t>
        </is>
      </c>
      <c r="J180" s="13" t="inlineStr">
        <is>
          <t>baseline</t>
        </is>
      </c>
      <c r="K180" s="13" t="inlineStr">
        <is>
          <t>B</t>
        </is>
      </c>
      <c r="L180" s="13" t="inlineStr">
        <is>
          <t>B</t>
        </is>
      </c>
      <c r="M180" s="13" t="inlineStr">
        <is>
          <t>B</t>
        </is>
      </c>
      <c r="N180" s="13">
        <f>IF(K180="A", I180, J180)</f>
        <v/>
      </c>
      <c r="O180" s="13">
        <f>IF(L180="A", I180, J180)</f>
        <v/>
      </c>
      <c r="P180" s="13">
        <f>IF(M180="A", I180, J180)</f>
        <v/>
      </c>
      <c r="Q180" s="13" t="n"/>
      <c r="R180" s="13" t="inlineStr">
        <is>
          <t>Percussion - Mirudhangam</t>
        </is>
      </c>
      <c r="S180" s="13" t="inlineStr">
        <is>
          <t>test</t>
        </is>
      </c>
      <c r="T180" s="13" t="n"/>
    </row>
    <row r="181" ht="15" customHeight="1">
      <c r="A181" s="13" t="inlineStr">
        <is>
          <t>PAB26C73</t>
        </is>
      </c>
      <c r="B181" s="13">
        <f>VLOOKUP(A181,Table1[[#All],[Participant ID]:[Persona]],7,0)</f>
        <v/>
      </c>
      <c r="C181" s="15" t="inlineStr">
        <is>
          <t>2026-04-14T14:23:14</t>
        </is>
      </c>
      <c r="D181" s="13" t="inlineStr">
        <is>
          <t>P01</t>
        </is>
      </c>
      <c r="E181" s="13" t="inlineStr">
        <is>
          <t>Karpagambike_seg0044</t>
        </is>
      </c>
      <c r="F181" s="13" t="n">
        <v>6</v>
      </c>
      <c r="G181" s="13" t="inlineStr">
        <is>
          <t>audio/pairwise/Karpagambike_seg0044-finetuned_20s.wav</t>
        </is>
      </c>
      <c r="H181" s="13" t="inlineStr">
        <is>
          <t>audio/pairwise/Karpagambike_seg0044-baseline_20s.wav</t>
        </is>
      </c>
      <c r="I181" s="13" t="inlineStr">
        <is>
          <t>finetuned</t>
        </is>
      </c>
      <c r="J181" s="13" t="inlineStr">
        <is>
          <t>baseline</t>
        </is>
      </c>
      <c r="K181" s="13" t="inlineStr">
        <is>
          <t>B</t>
        </is>
      </c>
      <c r="L181" s="13" t="inlineStr">
        <is>
          <t>B</t>
        </is>
      </c>
      <c r="M181" s="13" t="inlineStr">
        <is>
          <t>B</t>
        </is>
      </c>
      <c r="N181" s="13">
        <f>IF(K181="A", I181, J181)</f>
        <v/>
      </c>
      <c r="O181" s="13">
        <f>IF(L181="A", I181, J181)</f>
        <v/>
      </c>
      <c r="P181" s="13">
        <f>IF(M181="A", I181, J181)</f>
        <v/>
      </c>
      <c r="Q181" s="13" t="n"/>
      <c r="R181" s="13" t="inlineStr">
        <is>
          <t>Vocal</t>
        </is>
      </c>
      <c r="S181" s="13" t="inlineStr">
        <is>
          <t>test</t>
        </is>
      </c>
      <c r="T181" s="13" t="n"/>
    </row>
    <row r="182" ht="15" customHeight="1">
      <c r="A182" s="13" t="inlineStr">
        <is>
          <t>PA7B7903</t>
        </is>
      </c>
      <c r="B182" s="13">
        <f>VLOOKUP(A182,Table1[[#All],[Participant ID]:[Persona]],7,0)</f>
        <v/>
      </c>
      <c r="C182" s="15" t="inlineStr">
        <is>
          <t>2026-04-14T14:58:35</t>
        </is>
      </c>
      <c r="D182" s="13" t="inlineStr">
        <is>
          <t>P06</t>
        </is>
      </c>
      <c r="E182" s="13" t="inlineStr">
        <is>
          <t>Seshachala_Nayakam_seg0142</t>
        </is>
      </c>
      <c r="F182" s="13" t="n">
        <v>1</v>
      </c>
      <c r="G182" s="13" t="inlineStr">
        <is>
          <t>audio/pairwise/Seshachala_Nayakam_seg0142-finetuned_20s.wav</t>
        </is>
      </c>
      <c r="H182" s="13" t="inlineStr">
        <is>
          <t>audio/pairwise/Seshachala_Nayakam_seg0142-baseline_20s.wav</t>
        </is>
      </c>
      <c r="I182" s="13" t="inlineStr">
        <is>
          <t>finetuned</t>
        </is>
      </c>
      <c r="J182" s="13" t="inlineStr">
        <is>
          <t>baseline</t>
        </is>
      </c>
      <c r="K182" s="13" t="inlineStr">
        <is>
          <t>B</t>
        </is>
      </c>
      <c r="L182" s="13" t="inlineStr">
        <is>
          <t>B</t>
        </is>
      </c>
      <c r="M182" s="13" t="inlineStr">
        <is>
          <t>B</t>
        </is>
      </c>
      <c r="N182" s="13">
        <f>IF(K182="A", I182, J182)</f>
        <v/>
      </c>
      <c r="O182" s="13">
        <f>IF(L182="A", I182, J182)</f>
        <v/>
      </c>
      <c r="P182" s="13">
        <f>IF(M182="A", I182, J182)</f>
        <v/>
      </c>
      <c r="Q182" s="13" t="n"/>
      <c r="R182" s="13" t="inlineStr">
        <is>
          <t>Instrumental - Violin</t>
        </is>
      </c>
      <c r="S182" s="13" t="inlineStr">
        <is>
          <t>test</t>
        </is>
      </c>
      <c r="T182" s="13" t="n"/>
    </row>
    <row r="183" ht="15" customHeight="1">
      <c r="A183" s="13" t="inlineStr">
        <is>
          <t>PA7B7903</t>
        </is>
      </c>
      <c r="B183" s="13">
        <f>VLOOKUP(A183,Table1[[#All],[Participant ID]:[Persona]],7,0)</f>
        <v/>
      </c>
      <c r="C183" s="15" t="inlineStr">
        <is>
          <t>2026-04-14T14:58:35</t>
        </is>
      </c>
      <c r="D183" s="13" t="inlineStr">
        <is>
          <t>P02</t>
        </is>
      </c>
      <c r="E183" s="13" t="inlineStr">
        <is>
          <t>Raksha_Bettare_seg0201</t>
        </is>
      </c>
      <c r="F183" s="13" t="n">
        <v>2</v>
      </c>
      <c r="G183" s="13" t="inlineStr">
        <is>
          <t>audio/pairwise/Raksha_Bettare_seg0201-finetuned_20s.wav</t>
        </is>
      </c>
      <c r="H183" s="13" t="inlineStr">
        <is>
          <t>audio/pairwise/Raksha_Bettare_seg0201-baseline_20s.wav</t>
        </is>
      </c>
      <c r="I183" s="13" t="inlineStr">
        <is>
          <t>finetuned</t>
        </is>
      </c>
      <c r="J183" s="13" t="inlineStr">
        <is>
          <t>baseline</t>
        </is>
      </c>
      <c r="K183" s="13" t="inlineStr">
        <is>
          <t>A</t>
        </is>
      </c>
      <c r="L183" s="13" t="inlineStr">
        <is>
          <t>A</t>
        </is>
      </c>
      <c r="M183" s="13" t="inlineStr">
        <is>
          <t>A</t>
        </is>
      </c>
      <c r="N183" s="13">
        <f>IF(K183="A", I183, J183)</f>
        <v/>
      </c>
      <c r="O183" s="13">
        <f>IF(L183="A", I183, J183)</f>
        <v/>
      </c>
      <c r="P183" s="13">
        <f>IF(M183="A", I183, J183)</f>
        <v/>
      </c>
      <c r="Q183" s="13" t="n"/>
      <c r="R183" s="13" t="inlineStr">
        <is>
          <t>Vocal</t>
        </is>
      </c>
      <c r="S183" s="13" t="inlineStr">
        <is>
          <t>test</t>
        </is>
      </c>
      <c r="T183" s="13" t="n"/>
    </row>
    <row r="184" ht="15" customHeight="1">
      <c r="A184" s="13" t="inlineStr">
        <is>
          <t>PA7B7903</t>
        </is>
      </c>
      <c r="B184" s="13">
        <f>VLOOKUP(A184,Table1[[#All],[Participant ID]:[Persona]],7,0)</f>
        <v/>
      </c>
      <c r="C184" s="15" t="inlineStr">
        <is>
          <t>2026-04-14T14:58:35</t>
        </is>
      </c>
      <c r="D184" s="13" t="inlineStr">
        <is>
          <t>P05</t>
        </is>
      </c>
      <c r="E184" s="13" t="inlineStr">
        <is>
          <t>Nannupalimpa_seg0235</t>
        </is>
      </c>
      <c r="F184" s="13" t="n">
        <v>3</v>
      </c>
      <c r="G184" s="13" t="inlineStr">
        <is>
          <t>audio/pairwise/Nannupalimpa_seg0235-finetuned_20s.wav</t>
        </is>
      </c>
      <c r="H184" s="13" t="inlineStr">
        <is>
          <t>audio/pairwise/Nannupalimpa_seg0235-baseline_20s.wav</t>
        </is>
      </c>
      <c r="I184" s="13" t="inlineStr">
        <is>
          <t>finetuned</t>
        </is>
      </c>
      <c r="J184" s="13" t="inlineStr">
        <is>
          <t>baseline</t>
        </is>
      </c>
      <c r="K184" s="13" t="inlineStr">
        <is>
          <t>B</t>
        </is>
      </c>
      <c r="L184" s="13" t="inlineStr">
        <is>
          <t>B</t>
        </is>
      </c>
      <c r="M184" s="13" t="inlineStr">
        <is>
          <t>B</t>
        </is>
      </c>
      <c r="N184" s="13">
        <f>IF(K184="A", I184, J184)</f>
        <v/>
      </c>
      <c r="O184" s="13">
        <f>IF(L184="A", I184, J184)</f>
        <v/>
      </c>
      <c r="P184" s="13">
        <f>IF(M184="A", I184, J184)</f>
        <v/>
      </c>
      <c r="Q184" s="13" t="n"/>
      <c r="R184" s="13" t="inlineStr">
        <is>
          <t>Percussion - Mirudhangam</t>
        </is>
      </c>
      <c r="S184" s="13" t="inlineStr">
        <is>
          <t>test</t>
        </is>
      </c>
      <c r="T184" s="13" t="n"/>
    </row>
    <row r="185" ht="15" customHeight="1">
      <c r="A185" s="13" t="inlineStr">
        <is>
          <t>PA7B7903</t>
        </is>
      </c>
      <c r="B185" s="13">
        <f>VLOOKUP(A185,Table1[[#All],[Participant ID]:[Persona]],7,0)</f>
        <v/>
      </c>
      <c r="C185" s="15" t="inlineStr">
        <is>
          <t>2026-04-14T14:58:35</t>
        </is>
      </c>
      <c r="D185" s="13" t="inlineStr">
        <is>
          <t>P04</t>
        </is>
      </c>
      <c r="E185" s="13" t="inlineStr">
        <is>
          <t>Deva_Deva_Jagadeesha_seg0006</t>
        </is>
      </c>
      <c r="F185" s="13" t="n">
        <v>4</v>
      </c>
      <c r="G185" s="13" t="inlineStr">
        <is>
          <t>audio/pairwise/Deva_Deva_Jagadeesha_seg0006-baseline_20s.wav</t>
        </is>
      </c>
      <c r="H185" s="13" t="inlineStr">
        <is>
          <t>audio/pairwise/Deva_Deva_Jagadeesha_seg0006-finetuned_20s.wav</t>
        </is>
      </c>
      <c r="I185" s="13" t="inlineStr">
        <is>
          <t>baseline</t>
        </is>
      </c>
      <c r="J185" s="13" t="inlineStr">
        <is>
          <t>finetuned</t>
        </is>
      </c>
      <c r="K185" s="13" t="inlineStr">
        <is>
          <t>B</t>
        </is>
      </c>
      <c r="L185" s="13" t="inlineStr">
        <is>
          <t>B</t>
        </is>
      </c>
      <c r="M185" s="13" t="inlineStr">
        <is>
          <t>B</t>
        </is>
      </c>
      <c r="N185" s="13">
        <f>IF(K185="A", I185, J185)</f>
        <v/>
      </c>
      <c r="O185" s="13">
        <f>IF(L185="A", I185, J185)</f>
        <v/>
      </c>
      <c r="P185" s="13">
        <f>IF(M185="A", I185, J185)</f>
        <v/>
      </c>
      <c r="Q185" s="13" t="n"/>
      <c r="R185" s="13" t="inlineStr">
        <is>
          <t>Instrumental - Violin</t>
        </is>
      </c>
      <c r="S185" s="13" t="inlineStr">
        <is>
          <t>test</t>
        </is>
      </c>
      <c r="T185" s="13" t="n"/>
    </row>
    <row r="186" ht="15" customHeight="1">
      <c r="A186" s="13" t="inlineStr">
        <is>
          <t>PA7B7903</t>
        </is>
      </c>
      <c r="B186" s="13">
        <f>VLOOKUP(A186,Table1[[#All],[Participant ID]:[Persona]],7,0)</f>
        <v/>
      </c>
      <c r="C186" s="15" t="inlineStr">
        <is>
          <t>2026-04-14T14:58:35</t>
        </is>
      </c>
      <c r="D186" s="13" t="inlineStr">
        <is>
          <t>P03</t>
        </is>
      </c>
      <c r="E186" s="13" t="inlineStr">
        <is>
          <t>Ramanatham_Bhajeham_seg0029</t>
        </is>
      </c>
      <c r="F186" s="13" t="n">
        <v>5</v>
      </c>
      <c r="G186" s="13" t="inlineStr">
        <is>
          <t>audio/pairwise/Ramanatham_Bhajeham_seg0029-baseline_20s.wav</t>
        </is>
      </c>
      <c r="H186" s="13" t="inlineStr">
        <is>
          <t>audio/pairwise/Ramanatham_Bhajeham_seg0029-finetuned_20s.wav</t>
        </is>
      </c>
      <c r="I186" s="13" t="inlineStr">
        <is>
          <t>baseline</t>
        </is>
      </c>
      <c r="J186" s="13" t="inlineStr">
        <is>
          <t>finetuned</t>
        </is>
      </c>
      <c r="K186" s="13" t="inlineStr">
        <is>
          <t>A</t>
        </is>
      </c>
      <c r="L186" s="13" t="inlineStr">
        <is>
          <t>A</t>
        </is>
      </c>
      <c r="M186" s="13" t="inlineStr">
        <is>
          <t>A</t>
        </is>
      </c>
      <c r="N186" s="13">
        <f>IF(K186="A", I186, J186)</f>
        <v/>
      </c>
      <c r="O186" s="13">
        <f>IF(L186="A", I186, J186)</f>
        <v/>
      </c>
      <c r="P186" s="13">
        <f>IF(M186="A", I186, J186)</f>
        <v/>
      </c>
      <c r="Q186" s="13" t="n"/>
      <c r="R186" s="13" t="inlineStr">
        <is>
          <t>Vocal</t>
        </is>
      </c>
      <c r="S186" s="13" t="inlineStr">
        <is>
          <t>test</t>
        </is>
      </c>
      <c r="T186" s="13" t="n"/>
    </row>
    <row r="187" ht="15" customHeight="1">
      <c r="A187" s="13" t="inlineStr">
        <is>
          <t>PA7B7903</t>
        </is>
      </c>
      <c r="B187" s="13">
        <f>VLOOKUP(A187,Table1[[#All],[Participant ID]:[Persona]],7,0)</f>
        <v/>
      </c>
      <c r="C187" s="15" t="inlineStr">
        <is>
          <t>2026-04-14T14:58:35</t>
        </is>
      </c>
      <c r="D187" s="13" t="inlineStr">
        <is>
          <t>P01</t>
        </is>
      </c>
      <c r="E187" s="13" t="inlineStr">
        <is>
          <t>Karpagambike_seg0044</t>
        </is>
      </c>
      <c r="F187" s="13" t="n">
        <v>6</v>
      </c>
      <c r="G187" s="13" t="inlineStr">
        <is>
          <t>audio/pairwise/Karpagambike_seg0044-baseline_20s.wav</t>
        </is>
      </c>
      <c r="H187" s="13" t="inlineStr">
        <is>
          <t>audio/pairwise/Karpagambike_seg0044-finetuned_20s.wav</t>
        </is>
      </c>
      <c r="I187" s="13" t="inlineStr">
        <is>
          <t>baseline</t>
        </is>
      </c>
      <c r="J187" s="13" t="inlineStr">
        <is>
          <t>finetuned</t>
        </is>
      </c>
      <c r="K187" s="13" t="inlineStr">
        <is>
          <t>B</t>
        </is>
      </c>
      <c r="L187" s="13" t="inlineStr">
        <is>
          <t>B</t>
        </is>
      </c>
      <c r="M187" s="13" t="inlineStr">
        <is>
          <t>B</t>
        </is>
      </c>
      <c r="N187" s="13">
        <f>IF(K187="A", I187, J187)</f>
        <v/>
      </c>
      <c r="O187" s="13">
        <f>IF(L187="A", I187, J187)</f>
        <v/>
      </c>
      <c r="P187" s="13">
        <f>IF(M187="A", I187, J187)</f>
        <v/>
      </c>
      <c r="Q187" s="13" t="n"/>
      <c r="R187" s="13" t="inlineStr">
        <is>
          <t>Vocal</t>
        </is>
      </c>
      <c r="S187" s="13" t="inlineStr">
        <is>
          <t>test</t>
        </is>
      </c>
      <c r="T187" s="13" t="n"/>
    </row>
    <row r="188" ht="15" customHeight="1">
      <c r="A188" s="13" t="inlineStr">
        <is>
          <t>PAE6E0AE</t>
        </is>
      </c>
      <c r="B188" s="13">
        <f>VLOOKUP(A188,Table1[[#All],[Participant ID]:[Persona]],7,0)</f>
        <v/>
      </c>
      <c r="C188" s="15" t="inlineStr">
        <is>
          <t>2026-04-14T16:17:05</t>
        </is>
      </c>
      <c r="D188" s="13" t="inlineStr">
        <is>
          <t>P03</t>
        </is>
      </c>
      <c r="E188" s="13" t="inlineStr">
        <is>
          <t>Ramanatham_Bhajeham_seg0029</t>
        </is>
      </c>
      <c r="F188" s="13" t="n">
        <v>1</v>
      </c>
      <c r="G188" s="13" t="inlineStr">
        <is>
          <t>audio/pairwise/Ramanatham_Bhajeham_seg0029-baseline_20s.wav</t>
        </is>
      </c>
      <c r="H188" s="13" t="inlineStr">
        <is>
          <t>audio/pairwise/Ramanatham_Bhajeham_seg0029-finetuned_20s.wav</t>
        </is>
      </c>
      <c r="I188" s="13" t="inlineStr">
        <is>
          <t>baseline</t>
        </is>
      </c>
      <c r="J188" s="13" t="inlineStr">
        <is>
          <t>finetuned</t>
        </is>
      </c>
      <c r="K188" s="13" t="inlineStr">
        <is>
          <t>A</t>
        </is>
      </c>
      <c r="L188" s="13" t="inlineStr">
        <is>
          <t>A</t>
        </is>
      </c>
      <c r="M188" s="13" t="inlineStr">
        <is>
          <t>A</t>
        </is>
      </c>
      <c r="N188" s="13">
        <f>IF(K188="A", I188, J188)</f>
        <v/>
      </c>
      <c r="O188" s="13">
        <f>IF(L188="A", I188, J188)</f>
        <v/>
      </c>
      <c r="P188" s="13">
        <f>IF(M188="A", I188, J188)</f>
        <v/>
      </c>
      <c r="Q188" s="13" t="n"/>
      <c r="R188" s="13" t="inlineStr">
        <is>
          <t>Vocal</t>
        </is>
      </c>
      <c r="S188" s="13" t="inlineStr">
        <is>
          <t>test</t>
        </is>
      </c>
      <c r="T188" s="13" t="n"/>
    </row>
    <row r="189" ht="15" customHeight="1">
      <c r="A189" s="13" t="inlineStr">
        <is>
          <t>PAE6E0AE</t>
        </is>
      </c>
      <c r="B189" s="13">
        <f>VLOOKUP(A189,Table1[[#All],[Participant ID]:[Persona]],7,0)</f>
        <v/>
      </c>
      <c r="C189" s="15" t="inlineStr">
        <is>
          <t>2026-04-14T16:17:05</t>
        </is>
      </c>
      <c r="D189" s="13" t="inlineStr">
        <is>
          <t>P02</t>
        </is>
      </c>
      <c r="E189" s="13" t="inlineStr">
        <is>
          <t>Raksha_Bettare_seg0201</t>
        </is>
      </c>
      <c r="F189" s="13" t="n">
        <v>2</v>
      </c>
      <c r="G189" s="13" t="inlineStr">
        <is>
          <t>audio/pairwise/Raksha_Bettare_seg0201-finetuned_20s.wav</t>
        </is>
      </c>
      <c r="H189" s="13" t="inlineStr">
        <is>
          <t>audio/pairwise/Raksha_Bettare_seg0201-baseline_20s.wav</t>
        </is>
      </c>
      <c r="I189" s="13" t="inlineStr">
        <is>
          <t>finetuned</t>
        </is>
      </c>
      <c r="J189" s="13" t="inlineStr">
        <is>
          <t>baseline</t>
        </is>
      </c>
      <c r="K189" s="13" t="inlineStr">
        <is>
          <t>B</t>
        </is>
      </c>
      <c r="L189" s="13" t="inlineStr">
        <is>
          <t>B</t>
        </is>
      </c>
      <c r="M189" s="13" t="inlineStr">
        <is>
          <t>B</t>
        </is>
      </c>
      <c r="N189" s="13">
        <f>IF(K189="A", I189, J189)</f>
        <v/>
      </c>
      <c r="O189" s="13">
        <f>IF(L189="A", I189, J189)</f>
        <v/>
      </c>
      <c r="P189" s="13">
        <f>IF(M189="A", I189, J189)</f>
        <v/>
      </c>
      <c r="Q189" s="13" t="n"/>
      <c r="R189" s="13" t="inlineStr">
        <is>
          <t>Vocal</t>
        </is>
      </c>
      <c r="S189" s="13" t="inlineStr">
        <is>
          <t>test</t>
        </is>
      </c>
      <c r="T189" s="13" t="n"/>
    </row>
    <row r="190" ht="15" customHeight="1">
      <c r="A190" s="13" t="inlineStr">
        <is>
          <t>PAE6E0AE</t>
        </is>
      </c>
      <c r="B190" s="13">
        <f>VLOOKUP(A190,Table1[[#All],[Participant ID]:[Persona]],7,0)</f>
        <v/>
      </c>
      <c r="C190" s="15" t="inlineStr">
        <is>
          <t>2026-04-14T16:17:05</t>
        </is>
      </c>
      <c r="D190" s="13" t="inlineStr">
        <is>
          <t>P01</t>
        </is>
      </c>
      <c r="E190" s="13" t="inlineStr">
        <is>
          <t>Karpagambike_seg0044</t>
        </is>
      </c>
      <c r="F190" s="13" t="n">
        <v>3</v>
      </c>
      <c r="G190" s="13" t="inlineStr">
        <is>
          <t>audio/pairwise/Karpagambike_seg0044-finetuned_20s.wav</t>
        </is>
      </c>
      <c r="H190" s="13" t="inlineStr">
        <is>
          <t>audio/pairwise/Karpagambike_seg0044-baseline_20s.wav</t>
        </is>
      </c>
      <c r="I190" s="13" t="inlineStr">
        <is>
          <t>finetuned</t>
        </is>
      </c>
      <c r="J190" s="13" t="inlineStr">
        <is>
          <t>baseline</t>
        </is>
      </c>
      <c r="K190" s="13" t="inlineStr">
        <is>
          <t>A</t>
        </is>
      </c>
      <c r="L190" s="13" t="inlineStr">
        <is>
          <t>A</t>
        </is>
      </c>
      <c r="M190" s="13" t="inlineStr">
        <is>
          <t>A</t>
        </is>
      </c>
      <c r="N190" s="13">
        <f>IF(K190="A", I190, J190)</f>
        <v/>
      </c>
      <c r="O190" s="13">
        <f>IF(L190="A", I190, J190)</f>
        <v/>
      </c>
      <c r="P190" s="13">
        <f>IF(M190="A", I190, J190)</f>
        <v/>
      </c>
      <c r="Q190" s="13" t="n"/>
      <c r="R190" s="13" t="inlineStr">
        <is>
          <t>Vocal</t>
        </is>
      </c>
      <c r="S190" s="13" t="inlineStr">
        <is>
          <t>test</t>
        </is>
      </c>
      <c r="T190" s="13" t="n"/>
    </row>
    <row r="191" ht="15" customHeight="1">
      <c r="A191" s="13" t="inlineStr">
        <is>
          <t>PAE6E0AE</t>
        </is>
      </c>
      <c r="B191" s="13">
        <f>VLOOKUP(A191,Table1[[#All],[Participant ID]:[Persona]],7,0)</f>
        <v/>
      </c>
      <c r="C191" s="15" t="inlineStr">
        <is>
          <t>2026-04-14T16:17:05</t>
        </is>
      </c>
      <c r="D191" s="13" t="inlineStr">
        <is>
          <t>P04</t>
        </is>
      </c>
      <c r="E191" s="13" t="inlineStr">
        <is>
          <t>Deva_Deva_Jagadeesha_seg0006</t>
        </is>
      </c>
      <c r="F191" s="13" t="n">
        <v>4</v>
      </c>
      <c r="G191" s="13" t="inlineStr">
        <is>
          <t>audio/pairwise/Deva_Deva_Jagadeesha_seg0006-baseline_20s.wav</t>
        </is>
      </c>
      <c r="H191" s="13" t="inlineStr">
        <is>
          <t>audio/pairwise/Deva_Deva_Jagadeesha_seg0006-finetuned_20s.wav</t>
        </is>
      </c>
      <c r="I191" s="13" t="inlineStr">
        <is>
          <t>baseline</t>
        </is>
      </c>
      <c r="J191" s="13" t="inlineStr">
        <is>
          <t>finetuned</t>
        </is>
      </c>
      <c r="K191" s="13" t="inlineStr">
        <is>
          <t>B</t>
        </is>
      </c>
      <c r="L191" s="13" t="inlineStr">
        <is>
          <t>B</t>
        </is>
      </c>
      <c r="M191" s="13" t="inlineStr">
        <is>
          <t>B</t>
        </is>
      </c>
      <c r="N191" s="13">
        <f>IF(K191="A", I191, J191)</f>
        <v/>
      </c>
      <c r="O191" s="13">
        <f>IF(L191="A", I191, J191)</f>
        <v/>
      </c>
      <c r="P191" s="13">
        <f>IF(M191="A", I191, J191)</f>
        <v/>
      </c>
      <c r="Q191" s="13" t="n"/>
      <c r="R191" s="13" t="inlineStr">
        <is>
          <t>Instrumental - Violin</t>
        </is>
      </c>
      <c r="S191" s="13" t="inlineStr">
        <is>
          <t>test</t>
        </is>
      </c>
      <c r="T191" s="13" t="n"/>
    </row>
    <row r="192" ht="15" customHeight="1">
      <c r="A192" s="13" t="inlineStr">
        <is>
          <t>PAE6E0AE</t>
        </is>
      </c>
      <c r="B192" s="13">
        <f>VLOOKUP(A192,Table1[[#All],[Participant ID]:[Persona]],7,0)</f>
        <v/>
      </c>
      <c r="C192" s="15" t="inlineStr">
        <is>
          <t>2026-04-14T16:17:05</t>
        </is>
      </c>
      <c r="D192" s="13" t="inlineStr">
        <is>
          <t>P06</t>
        </is>
      </c>
      <c r="E192" s="13" t="inlineStr">
        <is>
          <t>Seshachala_Nayakam_seg0142</t>
        </is>
      </c>
      <c r="F192" s="13" t="n">
        <v>5</v>
      </c>
      <c r="G192" s="13" t="inlineStr">
        <is>
          <t>audio/pairwise/Seshachala_Nayakam_seg0142-baseline_20s.wav</t>
        </is>
      </c>
      <c r="H192" s="13" t="inlineStr">
        <is>
          <t>audio/pairwise/Seshachala_Nayakam_seg0142-finetuned_20s.wav</t>
        </is>
      </c>
      <c r="I192" s="13" t="inlineStr">
        <is>
          <t>baseline</t>
        </is>
      </c>
      <c r="J192" s="13" t="inlineStr">
        <is>
          <t>finetuned</t>
        </is>
      </c>
      <c r="K192" s="13" t="inlineStr">
        <is>
          <t>B</t>
        </is>
      </c>
      <c r="L192" s="13" t="inlineStr">
        <is>
          <t>B</t>
        </is>
      </c>
      <c r="M192" s="13" t="inlineStr">
        <is>
          <t>B</t>
        </is>
      </c>
      <c r="N192" s="13">
        <f>IF(K192="A", I192, J192)</f>
        <v/>
      </c>
      <c r="O192" s="13">
        <f>IF(L192="A", I192, J192)</f>
        <v/>
      </c>
      <c r="P192" s="13">
        <f>IF(M192="A", I192, J192)</f>
        <v/>
      </c>
      <c r="Q192" s="13" t="n"/>
      <c r="R192" s="13" t="inlineStr">
        <is>
          <t>Instrumental - Violin</t>
        </is>
      </c>
      <c r="S192" s="13" t="inlineStr">
        <is>
          <t>test</t>
        </is>
      </c>
      <c r="T192" s="13" t="n"/>
    </row>
    <row r="193" ht="15" customHeight="1">
      <c r="A193" s="13" t="inlineStr">
        <is>
          <t>PAE6E0AE</t>
        </is>
      </c>
      <c r="B193" s="13">
        <f>VLOOKUP(A193,Table1[[#All],[Participant ID]:[Persona]],7,0)</f>
        <v/>
      </c>
      <c r="C193" s="15" t="inlineStr">
        <is>
          <t>2026-04-14T16:17:05</t>
        </is>
      </c>
      <c r="D193" s="13" t="inlineStr">
        <is>
          <t>P05</t>
        </is>
      </c>
      <c r="E193" s="13" t="inlineStr">
        <is>
          <t>Nannupalimpa_seg0235</t>
        </is>
      </c>
      <c r="F193" s="13" t="n">
        <v>6</v>
      </c>
      <c r="G193" s="13" t="inlineStr">
        <is>
          <t>audio/pairwise/Nannupalimpa_seg0235-finetuned_20s.wav</t>
        </is>
      </c>
      <c r="H193" s="13" t="inlineStr">
        <is>
          <t>audio/pairwise/Nannupalimpa_seg0235-baseline_20s.wav</t>
        </is>
      </c>
      <c r="I193" s="13" t="inlineStr">
        <is>
          <t>finetuned</t>
        </is>
      </c>
      <c r="J193" s="13" t="inlineStr">
        <is>
          <t>baseline</t>
        </is>
      </c>
      <c r="K193" s="13" t="inlineStr">
        <is>
          <t>B</t>
        </is>
      </c>
      <c r="L193" s="13" t="inlineStr">
        <is>
          <t>B</t>
        </is>
      </c>
      <c r="M193" s="13" t="inlineStr">
        <is>
          <t>B</t>
        </is>
      </c>
      <c r="N193" s="13">
        <f>IF(K193="A", I193, J193)</f>
        <v/>
      </c>
      <c r="O193" s="13">
        <f>IF(L193="A", I193, J193)</f>
        <v/>
      </c>
      <c r="P193" s="13">
        <f>IF(M193="A", I193, J193)</f>
        <v/>
      </c>
      <c r="Q193" s="13" t="n"/>
      <c r="R193" s="13" t="inlineStr">
        <is>
          <t>Percussion - Mirudhangam</t>
        </is>
      </c>
      <c r="S193" s="13" t="inlineStr">
        <is>
          <t>test</t>
        </is>
      </c>
      <c r="T193" s="1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3"/>
  <sheetViews>
    <sheetView tabSelected="1" topLeftCell="A24" workbookViewId="0">
      <selection activeCell="E41" sqref="E41"/>
    </sheetView>
  </sheetViews>
  <sheetFormatPr baseColWidth="10" defaultRowHeight="13"/>
  <cols>
    <col width="12" bestFit="1" customWidth="1" min="1" max="1"/>
    <col width="23.33203125" bestFit="1" customWidth="1" min="2" max="2"/>
    <col width="27.1640625" bestFit="1" customWidth="1" min="3" max="3"/>
    <col width="17.6640625" bestFit="1" customWidth="1" min="4" max="4"/>
    <col width="18" bestFit="1" customWidth="1" min="5" max="5"/>
    <col width="20.5" bestFit="1" customWidth="1" min="6" max="6"/>
    <col width="21.5" bestFit="1" customWidth="1" min="7" max="7"/>
  </cols>
  <sheetData>
    <row r="1" ht="15" customHeight="1">
      <c r="A1" s="13" t="inlineStr">
        <is>
          <t>participant_id</t>
        </is>
      </c>
      <c r="B1" s="13" t="inlineStr">
        <is>
          <t>participant_persona</t>
        </is>
      </c>
      <c r="C1" s="13" t="inlineStr">
        <is>
          <t>source_clip_id</t>
        </is>
      </c>
      <c r="D1" s="13" t="inlineStr">
        <is>
          <t>better_model_overall</t>
        </is>
      </c>
      <c r="E1" s="13" t="inlineStr">
        <is>
          <t>more_carnatic_model</t>
        </is>
      </c>
      <c r="F1" s="13" t="inlineStr">
        <is>
          <t>better_continuity_model</t>
        </is>
      </c>
      <c r="G1" s="13" t="inlineStr">
        <is>
          <t>performer_type</t>
        </is>
      </c>
    </row>
    <row r="2" ht="15" customHeight="1">
      <c r="A2" s="13" t="inlineStr">
        <is>
          <t>PA00930C</t>
        </is>
      </c>
      <c r="B2" s="13">
        <f>VLOOKUP(A2,Table1[[#All],[Participant ID]:[Persona]],7,0)</f>
        <v/>
      </c>
      <c r="C2" s="13" t="inlineStr">
        <is>
          <t>Karpagambike_seg0044</t>
        </is>
      </c>
      <c r="D2" s="13" t="inlineStr">
        <is>
          <t>finetuned</t>
        </is>
      </c>
      <c r="E2" s="13" t="inlineStr">
        <is>
          <t>finetuned</t>
        </is>
      </c>
      <c r="F2" s="13" t="inlineStr">
        <is>
          <t>finetuned</t>
        </is>
      </c>
      <c r="G2" s="13" t="inlineStr">
        <is>
          <t>Vocal</t>
        </is>
      </c>
    </row>
    <row r="3" ht="15" customHeight="1">
      <c r="A3" s="13" t="inlineStr">
        <is>
          <t>PA00930C</t>
        </is>
      </c>
      <c r="B3" s="13">
        <f>VLOOKUP(A3,Table1[[#All],[Participant ID]:[Persona]],7,0)</f>
        <v/>
      </c>
      <c r="C3" s="13" t="inlineStr">
        <is>
          <t>Ramanatham_Bhajeham_seg0029</t>
        </is>
      </c>
      <c r="D3" s="13" t="inlineStr">
        <is>
          <t>baseline</t>
        </is>
      </c>
      <c r="E3" s="13" t="inlineStr">
        <is>
          <t>baseline</t>
        </is>
      </c>
      <c r="F3" s="13" t="inlineStr">
        <is>
          <t>finetuned</t>
        </is>
      </c>
      <c r="G3" s="13" t="inlineStr">
        <is>
          <t>Vocal</t>
        </is>
      </c>
    </row>
    <row r="4" ht="15" customHeight="1">
      <c r="A4" s="13" t="inlineStr">
        <is>
          <t>PA00930C</t>
        </is>
      </c>
      <c r="B4" s="13">
        <f>VLOOKUP(A4,Table1[[#All],[Participant ID]:[Persona]],7,0)</f>
        <v/>
      </c>
      <c r="C4" s="13" t="inlineStr">
        <is>
          <t>Raksha_Bettare_seg0201</t>
        </is>
      </c>
      <c r="D4" s="13" t="inlineStr">
        <is>
          <t>finetuned</t>
        </is>
      </c>
      <c r="E4" s="13" t="inlineStr">
        <is>
          <t>finetuned</t>
        </is>
      </c>
      <c r="F4" s="13" t="inlineStr">
        <is>
          <t>baseline</t>
        </is>
      </c>
      <c r="G4" s="13" t="inlineStr">
        <is>
          <t>Vocal</t>
        </is>
      </c>
    </row>
    <row r="5" ht="15" customHeight="1">
      <c r="A5" s="13" t="inlineStr">
        <is>
          <t>PA00930C</t>
        </is>
      </c>
      <c r="B5" s="13">
        <f>VLOOKUP(A5,Table1[[#All],[Participant ID]:[Persona]],7,0)</f>
        <v/>
      </c>
      <c r="C5" s="13" t="inlineStr">
        <is>
          <t>Deva_Deva_Jagadeesha_seg0006</t>
        </is>
      </c>
      <c r="D5" s="13" t="inlineStr">
        <is>
          <t>finetuned</t>
        </is>
      </c>
      <c r="E5" s="13" t="inlineStr">
        <is>
          <t>finetuned</t>
        </is>
      </c>
      <c r="F5" s="13" t="inlineStr">
        <is>
          <t>finetuned</t>
        </is>
      </c>
      <c r="G5" s="13" t="inlineStr">
        <is>
          <t>Instrumental - Violin</t>
        </is>
      </c>
    </row>
    <row r="6" ht="15" customHeight="1">
      <c r="A6" s="13" t="inlineStr">
        <is>
          <t>PA00930C</t>
        </is>
      </c>
      <c r="B6" s="13">
        <f>VLOOKUP(A6,Table1[[#All],[Participant ID]:[Persona]],7,0)</f>
        <v/>
      </c>
      <c r="C6" s="13" t="inlineStr">
        <is>
          <t>Seshachala_Nayakam_seg0142</t>
        </is>
      </c>
      <c r="D6" s="13" t="inlineStr">
        <is>
          <t>finetuned</t>
        </is>
      </c>
      <c r="E6" s="13" t="inlineStr">
        <is>
          <t>finetuned</t>
        </is>
      </c>
      <c r="F6" s="13" t="inlineStr">
        <is>
          <t>finetuned</t>
        </is>
      </c>
      <c r="G6" s="13" t="inlineStr">
        <is>
          <t>Instrumental - Violin</t>
        </is>
      </c>
    </row>
    <row r="7" ht="15" customHeight="1">
      <c r="A7" s="13" t="inlineStr">
        <is>
          <t>PA00930C</t>
        </is>
      </c>
      <c r="B7" s="13">
        <f>VLOOKUP(A7,Table1[[#All],[Participant ID]:[Persona]],7,0)</f>
        <v/>
      </c>
      <c r="C7" s="13" t="inlineStr">
        <is>
          <t>Nannupalimpa_seg0235</t>
        </is>
      </c>
      <c r="D7" s="13" t="inlineStr">
        <is>
          <t>finetuned</t>
        </is>
      </c>
      <c r="E7" s="13" t="inlineStr">
        <is>
          <t>finetuned</t>
        </is>
      </c>
      <c r="F7" s="13" t="inlineStr">
        <is>
          <t>finetuned</t>
        </is>
      </c>
      <c r="G7" s="13" t="inlineStr">
        <is>
          <t>Percussion - Mirudhangam</t>
        </is>
      </c>
    </row>
    <row r="8" ht="15" customHeight="1">
      <c r="A8" s="13" t="inlineStr">
        <is>
          <t>PA7FB7E0</t>
        </is>
      </c>
      <c r="B8" s="13">
        <f>VLOOKUP(A8,Table1[[#All],[Participant ID]:[Persona]],7,0)</f>
        <v/>
      </c>
      <c r="C8" s="13" t="inlineStr">
        <is>
          <t>Ramanatham_Bhajeham_seg0029</t>
        </is>
      </c>
      <c r="D8" s="13" t="inlineStr">
        <is>
          <t>baseline</t>
        </is>
      </c>
      <c r="E8" s="13" t="inlineStr">
        <is>
          <t>baseline</t>
        </is>
      </c>
      <c r="F8" s="13" t="inlineStr">
        <is>
          <t>baseline</t>
        </is>
      </c>
      <c r="G8" s="13" t="inlineStr">
        <is>
          <t>Vocal</t>
        </is>
      </c>
    </row>
    <row r="9" ht="15" customHeight="1">
      <c r="A9" s="13" t="inlineStr">
        <is>
          <t>PA7FB7E0</t>
        </is>
      </c>
      <c r="B9" s="13">
        <f>VLOOKUP(A9,Table1[[#All],[Participant ID]:[Persona]],7,0)</f>
        <v/>
      </c>
      <c r="C9" s="13" t="inlineStr">
        <is>
          <t>Deva_Deva_Jagadeesha_seg0006</t>
        </is>
      </c>
      <c r="D9" s="13" t="inlineStr">
        <is>
          <t>finetuned</t>
        </is>
      </c>
      <c r="E9" s="13" t="inlineStr">
        <is>
          <t>finetuned</t>
        </is>
      </c>
      <c r="F9" s="13" t="inlineStr">
        <is>
          <t>baseline</t>
        </is>
      </c>
      <c r="G9" s="13" t="inlineStr">
        <is>
          <t>Instrumental - Violin</t>
        </is>
      </c>
    </row>
    <row r="10" ht="15" customHeight="1">
      <c r="A10" s="13" t="inlineStr">
        <is>
          <t>PA7FB7E0</t>
        </is>
      </c>
      <c r="B10" s="13">
        <f>VLOOKUP(A10,Table1[[#All],[Participant ID]:[Persona]],7,0)</f>
        <v/>
      </c>
      <c r="C10" s="13" t="inlineStr">
        <is>
          <t>Karpagambike_seg0044</t>
        </is>
      </c>
      <c r="D10" s="13" t="inlineStr">
        <is>
          <t>finetuned</t>
        </is>
      </c>
      <c r="E10" s="13" t="inlineStr">
        <is>
          <t>finetuned</t>
        </is>
      </c>
      <c r="F10" s="13" t="inlineStr">
        <is>
          <t>finetuned</t>
        </is>
      </c>
      <c r="G10" s="13" t="inlineStr">
        <is>
          <t>Vocal</t>
        </is>
      </c>
    </row>
    <row r="11" ht="15" customHeight="1">
      <c r="A11" s="13" t="inlineStr">
        <is>
          <t>PA7FB7E0</t>
        </is>
      </c>
      <c r="B11" s="13">
        <f>VLOOKUP(A11,Table1[[#All],[Participant ID]:[Persona]],7,0)</f>
        <v/>
      </c>
      <c r="C11" s="13" t="inlineStr">
        <is>
          <t>Seshachala_Nayakam_seg0142</t>
        </is>
      </c>
      <c r="D11" s="13" t="inlineStr">
        <is>
          <t>finetuned</t>
        </is>
      </c>
      <c r="E11" s="13" t="inlineStr">
        <is>
          <t>finetuned</t>
        </is>
      </c>
      <c r="F11" s="13" t="inlineStr">
        <is>
          <t>finetuned</t>
        </is>
      </c>
      <c r="G11" s="13" t="inlineStr">
        <is>
          <t>Instrumental - Violin</t>
        </is>
      </c>
    </row>
    <row r="12" ht="15" customHeight="1">
      <c r="A12" s="13" t="inlineStr">
        <is>
          <t>PA7FB7E0</t>
        </is>
      </c>
      <c r="B12" s="13">
        <f>VLOOKUP(A12,Table1[[#All],[Participant ID]:[Persona]],7,0)</f>
        <v/>
      </c>
      <c r="C12" s="13" t="inlineStr">
        <is>
          <t>Raksha_Bettare_seg0201</t>
        </is>
      </c>
      <c r="D12" s="13" t="inlineStr">
        <is>
          <t>finetuned</t>
        </is>
      </c>
      <c r="E12" s="13" t="inlineStr">
        <is>
          <t>finetuned</t>
        </is>
      </c>
      <c r="F12" s="13" t="inlineStr">
        <is>
          <t>finetuned</t>
        </is>
      </c>
      <c r="G12" s="13" t="inlineStr">
        <is>
          <t>Vocal</t>
        </is>
      </c>
    </row>
    <row r="13" ht="15" customHeight="1">
      <c r="A13" s="13" t="inlineStr">
        <is>
          <t>PA7FB7E0</t>
        </is>
      </c>
      <c r="B13" s="13">
        <f>VLOOKUP(A13,Table1[[#All],[Participant ID]:[Persona]],7,0)</f>
        <v/>
      </c>
      <c r="C13" s="13" t="inlineStr">
        <is>
          <t>Nannupalimpa_seg0235</t>
        </is>
      </c>
      <c r="D13" s="13" t="inlineStr">
        <is>
          <t>finetuned</t>
        </is>
      </c>
      <c r="E13" s="13" t="inlineStr">
        <is>
          <t>finetuned</t>
        </is>
      </c>
      <c r="F13" s="13" t="inlineStr">
        <is>
          <t>finetuned</t>
        </is>
      </c>
      <c r="G13" s="13" t="inlineStr">
        <is>
          <t>Percussion - Mirudhangam</t>
        </is>
      </c>
    </row>
    <row r="14" ht="15" customHeight="1">
      <c r="A14" s="13" t="inlineStr">
        <is>
          <t>PA61145F</t>
        </is>
      </c>
      <c r="B14" s="13">
        <f>VLOOKUP(A14,Table1[[#All],[Participant ID]:[Persona]],7,0)</f>
        <v/>
      </c>
      <c r="C14" s="13" t="inlineStr">
        <is>
          <t>Seshachala_Nayakam_seg0142</t>
        </is>
      </c>
      <c r="D14" s="13" t="inlineStr">
        <is>
          <t>finetuned</t>
        </is>
      </c>
      <c r="E14" s="13" t="inlineStr">
        <is>
          <t>finetuned</t>
        </is>
      </c>
      <c r="F14" s="13" t="inlineStr">
        <is>
          <t>finetuned</t>
        </is>
      </c>
      <c r="G14" s="13" t="inlineStr">
        <is>
          <t>Instrumental - Violin</t>
        </is>
      </c>
    </row>
    <row r="15" ht="15" customHeight="1">
      <c r="A15" s="13" t="inlineStr">
        <is>
          <t>PA61145F</t>
        </is>
      </c>
      <c r="B15" s="13">
        <f>VLOOKUP(A15,Table1[[#All],[Participant ID]:[Persona]],7,0)</f>
        <v/>
      </c>
      <c r="C15" s="13" t="inlineStr">
        <is>
          <t>Deva_Deva_Jagadeesha_seg0006</t>
        </is>
      </c>
      <c r="D15" s="13" t="inlineStr">
        <is>
          <t>finetuned</t>
        </is>
      </c>
      <c r="E15" s="13" t="inlineStr">
        <is>
          <t>finetuned</t>
        </is>
      </c>
      <c r="F15" s="13" t="inlineStr">
        <is>
          <t>finetuned</t>
        </is>
      </c>
      <c r="G15" s="13" t="inlineStr">
        <is>
          <t>Instrumental - Violin</t>
        </is>
      </c>
    </row>
    <row r="16" ht="15" customHeight="1">
      <c r="A16" s="13" t="inlineStr">
        <is>
          <t>PA61145F</t>
        </is>
      </c>
      <c r="B16" s="13">
        <f>VLOOKUP(A16,Table1[[#All],[Participant ID]:[Persona]],7,0)</f>
        <v/>
      </c>
      <c r="C16" s="13" t="inlineStr">
        <is>
          <t>Raksha_Bettare_seg0201</t>
        </is>
      </c>
      <c r="D16" s="13" t="inlineStr">
        <is>
          <t>finetuned</t>
        </is>
      </c>
      <c r="E16" s="13" t="inlineStr">
        <is>
          <t>finetuned</t>
        </is>
      </c>
      <c r="F16" s="13" t="inlineStr">
        <is>
          <t>finetuned</t>
        </is>
      </c>
      <c r="G16" s="13" t="inlineStr">
        <is>
          <t>Vocal</t>
        </is>
      </c>
    </row>
    <row r="17" ht="15" customHeight="1">
      <c r="A17" s="13" t="inlineStr">
        <is>
          <t>PA61145F</t>
        </is>
      </c>
      <c r="B17" s="13">
        <f>VLOOKUP(A17,Table1[[#All],[Participant ID]:[Persona]],7,0)</f>
        <v/>
      </c>
      <c r="C17" s="13" t="inlineStr">
        <is>
          <t>Nannupalimpa_seg0235</t>
        </is>
      </c>
      <c r="D17" s="13" t="inlineStr">
        <is>
          <t>finetuned</t>
        </is>
      </c>
      <c r="E17" s="13" t="inlineStr">
        <is>
          <t>finetuned</t>
        </is>
      </c>
      <c r="F17" s="13" t="inlineStr">
        <is>
          <t>finetuned</t>
        </is>
      </c>
      <c r="G17" s="13" t="inlineStr">
        <is>
          <t>Percussion - Mirudhangam</t>
        </is>
      </c>
    </row>
    <row r="18" ht="15" customHeight="1">
      <c r="A18" s="13" t="inlineStr">
        <is>
          <t>PA61145F</t>
        </is>
      </c>
      <c r="B18" s="13">
        <f>VLOOKUP(A18,Table1[[#All],[Participant ID]:[Persona]],7,0)</f>
        <v/>
      </c>
      <c r="C18" s="13" t="inlineStr">
        <is>
          <t>Ramanatham_Bhajeham_seg0029</t>
        </is>
      </c>
      <c r="D18" s="13" t="inlineStr">
        <is>
          <t>baseline</t>
        </is>
      </c>
      <c r="E18" s="13" t="inlineStr">
        <is>
          <t>baseline</t>
        </is>
      </c>
      <c r="F18" s="13" t="inlineStr">
        <is>
          <t>baseline</t>
        </is>
      </c>
      <c r="G18" s="13" t="inlineStr">
        <is>
          <t>Vocal</t>
        </is>
      </c>
    </row>
    <row r="19" ht="15" customHeight="1">
      <c r="A19" s="13" t="inlineStr">
        <is>
          <t>PA61145F</t>
        </is>
      </c>
      <c r="B19" s="13">
        <f>VLOOKUP(A19,Table1[[#All],[Participant ID]:[Persona]],7,0)</f>
        <v/>
      </c>
      <c r="C19" s="13" t="inlineStr">
        <is>
          <t>Karpagambike_seg0044</t>
        </is>
      </c>
      <c r="D19" s="13" t="inlineStr">
        <is>
          <t>finetuned</t>
        </is>
      </c>
      <c r="E19" s="13" t="inlineStr">
        <is>
          <t>finetuned</t>
        </is>
      </c>
      <c r="F19" s="13" t="inlineStr">
        <is>
          <t>finetuned</t>
        </is>
      </c>
      <c r="G19" s="13" t="inlineStr">
        <is>
          <t>Vocal</t>
        </is>
      </c>
    </row>
    <row r="20" ht="15" customHeight="1">
      <c r="A20" s="13" t="inlineStr">
        <is>
          <t>PA56F0AC</t>
        </is>
      </c>
      <c r="B20" s="13">
        <f>VLOOKUP(A20,Table1[[#All],[Participant ID]:[Persona]],7,0)</f>
        <v/>
      </c>
      <c r="C20" s="13" t="inlineStr">
        <is>
          <t>Karpagambike_seg0044</t>
        </is>
      </c>
      <c r="D20" s="13" t="inlineStr">
        <is>
          <t>finetuned</t>
        </is>
      </c>
      <c r="E20" s="13" t="inlineStr">
        <is>
          <t>finetuned</t>
        </is>
      </c>
      <c r="F20" s="13" t="inlineStr">
        <is>
          <t>finetuned</t>
        </is>
      </c>
      <c r="G20" s="13" t="inlineStr">
        <is>
          <t>Vocal</t>
        </is>
      </c>
    </row>
    <row r="21" ht="15" customHeight="1">
      <c r="A21" s="13" t="inlineStr">
        <is>
          <t>PA56F0AC</t>
        </is>
      </c>
      <c r="B21" s="13">
        <f>VLOOKUP(A21,Table1[[#All],[Participant ID]:[Persona]],7,0)</f>
        <v/>
      </c>
      <c r="C21" s="13" t="inlineStr">
        <is>
          <t>Raksha_Bettare_seg0201</t>
        </is>
      </c>
      <c r="D21" s="13" t="inlineStr">
        <is>
          <t>baseline</t>
        </is>
      </c>
      <c r="E21" s="13" t="inlineStr">
        <is>
          <t>finetuned</t>
        </is>
      </c>
      <c r="F21" s="13" t="inlineStr">
        <is>
          <t>finetuned</t>
        </is>
      </c>
      <c r="G21" s="13" t="inlineStr">
        <is>
          <t>Vocal</t>
        </is>
      </c>
    </row>
    <row r="22" ht="15" customHeight="1">
      <c r="A22" s="13" t="inlineStr">
        <is>
          <t>PA56F0AC</t>
        </is>
      </c>
      <c r="B22" s="13">
        <f>VLOOKUP(A22,Table1[[#All],[Participant ID]:[Persona]],7,0)</f>
        <v/>
      </c>
      <c r="C22" s="13" t="inlineStr">
        <is>
          <t>Ramanatham_Bhajeham_seg0029</t>
        </is>
      </c>
      <c r="D22" s="13" t="inlineStr">
        <is>
          <t>baseline</t>
        </is>
      </c>
      <c r="E22" s="13" t="inlineStr">
        <is>
          <t>finetuned</t>
        </is>
      </c>
      <c r="F22" s="13" t="inlineStr">
        <is>
          <t>finetuned</t>
        </is>
      </c>
      <c r="G22" s="13" t="inlineStr">
        <is>
          <t>Vocal</t>
        </is>
      </c>
    </row>
    <row r="23" ht="15" customHeight="1">
      <c r="A23" s="13" t="inlineStr">
        <is>
          <t>PA56F0AC</t>
        </is>
      </c>
      <c r="B23" s="13">
        <f>VLOOKUP(A23,Table1[[#All],[Participant ID]:[Persona]],7,0)</f>
        <v/>
      </c>
      <c r="C23" s="13" t="inlineStr">
        <is>
          <t>Nannupalimpa_seg0235</t>
        </is>
      </c>
      <c r="D23" s="13" t="inlineStr">
        <is>
          <t>finetuned</t>
        </is>
      </c>
      <c r="E23" s="13" t="inlineStr">
        <is>
          <t>finetuned</t>
        </is>
      </c>
      <c r="F23" s="13" t="inlineStr">
        <is>
          <t>finetuned</t>
        </is>
      </c>
      <c r="G23" s="13" t="inlineStr">
        <is>
          <t>Percussion - Mirudhangam</t>
        </is>
      </c>
    </row>
    <row r="24" ht="15" customHeight="1">
      <c r="A24" s="13" t="inlineStr">
        <is>
          <t>PA56F0AC</t>
        </is>
      </c>
      <c r="B24" s="13">
        <f>VLOOKUP(A24,Table1[[#All],[Participant ID]:[Persona]],7,0)</f>
        <v/>
      </c>
      <c r="C24" s="13" t="inlineStr">
        <is>
          <t>Deva_Deva_Jagadeesha_seg0006</t>
        </is>
      </c>
      <c r="D24" s="13" t="inlineStr">
        <is>
          <t>finetuned</t>
        </is>
      </c>
      <c r="E24" s="13" t="inlineStr">
        <is>
          <t>finetuned</t>
        </is>
      </c>
      <c r="F24" s="13" t="inlineStr">
        <is>
          <t>finetuned</t>
        </is>
      </c>
      <c r="G24" s="13" t="inlineStr">
        <is>
          <t>Instrumental - Violin</t>
        </is>
      </c>
    </row>
    <row r="25" ht="15" customHeight="1">
      <c r="A25" s="13" t="inlineStr">
        <is>
          <t>PA56F0AC</t>
        </is>
      </c>
      <c r="B25" s="13">
        <f>VLOOKUP(A25,Table1[[#All],[Participant ID]:[Persona]],7,0)</f>
        <v/>
      </c>
      <c r="C25" s="13" t="inlineStr">
        <is>
          <t>Seshachala_Nayakam_seg0142</t>
        </is>
      </c>
      <c r="D25" s="13" t="inlineStr">
        <is>
          <t>finetuned</t>
        </is>
      </c>
      <c r="E25" s="13" t="inlineStr">
        <is>
          <t>finetuned</t>
        </is>
      </c>
      <c r="F25" s="13" t="inlineStr">
        <is>
          <t>finetuned</t>
        </is>
      </c>
      <c r="G25" s="13" t="inlineStr">
        <is>
          <t>Instrumental - Violin</t>
        </is>
      </c>
    </row>
    <row r="26" ht="15" customHeight="1">
      <c r="A26" s="13" t="inlineStr">
        <is>
          <t>PA817AA9</t>
        </is>
      </c>
      <c r="B26" s="13">
        <f>VLOOKUP(A26,Table1[[#All],[Participant ID]:[Persona]],7,0)</f>
        <v/>
      </c>
      <c r="C26" s="13" t="inlineStr">
        <is>
          <t>Karpagambike_seg0044</t>
        </is>
      </c>
      <c r="D26" s="13" t="inlineStr">
        <is>
          <t>finetuned</t>
        </is>
      </c>
      <c r="E26" s="13" t="inlineStr">
        <is>
          <t>finetuned</t>
        </is>
      </c>
      <c r="F26" s="13" t="inlineStr">
        <is>
          <t>finetuned</t>
        </is>
      </c>
      <c r="G26" s="13" t="inlineStr">
        <is>
          <t>Vocal</t>
        </is>
      </c>
    </row>
    <row r="27" ht="15" customHeight="1">
      <c r="A27" s="13" t="inlineStr">
        <is>
          <t>PA817AA9</t>
        </is>
      </c>
      <c r="B27" s="13">
        <f>VLOOKUP(A27,Table1[[#All],[Participant ID]:[Persona]],7,0)</f>
        <v/>
      </c>
      <c r="C27" s="13" t="inlineStr">
        <is>
          <t>Nannupalimpa_seg0235</t>
        </is>
      </c>
      <c r="D27" s="13" t="inlineStr">
        <is>
          <t>finetuned</t>
        </is>
      </c>
      <c r="E27" s="13" t="inlineStr">
        <is>
          <t>finetuned</t>
        </is>
      </c>
      <c r="F27" s="13" t="inlineStr">
        <is>
          <t>finetuned</t>
        </is>
      </c>
      <c r="G27" s="13" t="inlineStr">
        <is>
          <t>Percussion - Mirudhangam</t>
        </is>
      </c>
    </row>
    <row r="28" ht="15" customHeight="1">
      <c r="A28" s="13" t="inlineStr">
        <is>
          <t>PA817AA9</t>
        </is>
      </c>
      <c r="B28" s="13">
        <f>VLOOKUP(A28,Table1[[#All],[Participant ID]:[Persona]],7,0)</f>
        <v/>
      </c>
      <c r="C28" s="13" t="inlineStr">
        <is>
          <t>Deva_Deva_Jagadeesha_seg0006</t>
        </is>
      </c>
      <c r="D28" s="13" t="inlineStr">
        <is>
          <t>finetuned</t>
        </is>
      </c>
      <c r="E28" s="13" t="inlineStr">
        <is>
          <t>finetuned</t>
        </is>
      </c>
      <c r="F28" s="13" t="inlineStr">
        <is>
          <t>finetuned</t>
        </is>
      </c>
      <c r="G28" s="13" t="inlineStr">
        <is>
          <t>Instrumental - Violin</t>
        </is>
      </c>
    </row>
    <row r="29" ht="15" customHeight="1">
      <c r="A29" s="13" t="inlineStr">
        <is>
          <t>PA817AA9</t>
        </is>
      </c>
      <c r="B29" s="13">
        <f>VLOOKUP(A29,Table1[[#All],[Participant ID]:[Persona]],7,0)</f>
        <v/>
      </c>
      <c r="C29" s="13" t="inlineStr">
        <is>
          <t>Ramanatham_Bhajeham_seg0029</t>
        </is>
      </c>
      <c r="D29" s="13" t="inlineStr">
        <is>
          <t>baseline</t>
        </is>
      </c>
      <c r="E29" s="13" t="inlineStr">
        <is>
          <t>finetuned</t>
        </is>
      </c>
      <c r="F29" s="13" t="inlineStr">
        <is>
          <t>finetuned</t>
        </is>
      </c>
      <c r="G29" s="13" t="inlineStr">
        <is>
          <t>Vocal</t>
        </is>
      </c>
    </row>
    <row r="30" ht="15" customHeight="1">
      <c r="A30" s="13" t="inlineStr">
        <is>
          <t>PA817AA9</t>
        </is>
      </c>
      <c r="B30" s="13">
        <f>VLOOKUP(A30,Table1[[#All],[Participant ID]:[Persona]],7,0)</f>
        <v/>
      </c>
      <c r="C30" s="13" t="inlineStr">
        <is>
          <t>Raksha_Bettare_seg0201</t>
        </is>
      </c>
      <c r="D30" s="13" t="inlineStr">
        <is>
          <t>finetuned</t>
        </is>
      </c>
      <c r="E30" s="13" t="inlineStr">
        <is>
          <t>finetuned</t>
        </is>
      </c>
      <c r="F30" s="13" t="inlineStr">
        <is>
          <t>finetuned</t>
        </is>
      </c>
      <c r="G30" s="13" t="inlineStr">
        <is>
          <t>Vocal</t>
        </is>
      </c>
    </row>
    <row r="31" ht="15" customHeight="1">
      <c r="A31" s="13" t="inlineStr">
        <is>
          <t>PA817AA9</t>
        </is>
      </c>
      <c r="B31" s="13">
        <f>VLOOKUP(A31,Table1[[#All],[Participant ID]:[Persona]],7,0)</f>
        <v/>
      </c>
      <c r="C31" s="13" t="inlineStr">
        <is>
          <t>Seshachala_Nayakam_seg0142</t>
        </is>
      </c>
      <c r="D31" s="13" t="inlineStr">
        <is>
          <t>finetuned</t>
        </is>
      </c>
      <c r="E31" s="13" t="inlineStr">
        <is>
          <t>finetuned</t>
        </is>
      </c>
      <c r="F31" s="13" t="inlineStr">
        <is>
          <t>finetuned</t>
        </is>
      </c>
      <c r="G31" s="13" t="inlineStr">
        <is>
          <t>Instrumental - Violin</t>
        </is>
      </c>
    </row>
    <row r="32" ht="15" customHeight="1">
      <c r="A32" s="13" t="inlineStr">
        <is>
          <t>PAC716A3</t>
        </is>
      </c>
      <c r="B32" s="13">
        <f>VLOOKUP(A32,Table1[[#All],[Participant ID]:[Persona]],7,0)</f>
        <v/>
      </c>
      <c r="C32" s="13" t="inlineStr">
        <is>
          <t>Ramanatham_Bhajeham_seg0029</t>
        </is>
      </c>
      <c r="D32" s="13" t="inlineStr">
        <is>
          <t>finetuned</t>
        </is>
      </c>
      <c r="E32" s="13" t="inlineStr">
        <is>
          <t>finetuned</t>
        </is>
      </c>
      <c r="F32" s="13" t="inlineStr">
        <is>
          <t>finetuned</t>
        </is>
      </c>
      <c r="G32" s="13" t="inlineStr">
        <is>
          <t>Vocal</t>
        </is>
      </c>
    </row>
    <row r="33" ht="15" customHeight="1">
      <c r="A33" s="13" t="inlineStr">
        <is>
          <t>PAC716A3</t>
        </is>
      </c>
      <c r="B33" s="13">
        <f>VLOOKUP(A33,Table1[[#All],[Participant ID]:[Persona]],7,0)</f>
        <v/>
      </c>
      <c r="C33" s="13" t="inlineStr">
        <is>
          <t>Seshachala_Nayakam_seg0142</t>
        </is>
      </c>
      <c r="D33" s="13" t="inlineStr">
        <is>
          <t>finetuned</t>
        </is>
      </c>
      <c r="E33" s="13" t="inlineStr">
        <is>
          <t>finetuned</t>
        </is>
      </c>
      <c r="F33" s="13" t="inlineStr">
        <is>
          <t>baseline</t>
        </is>
      </c>
      <c r="G33" s="13" t="inlineStr">
        <is>
          <t>Instrumental - Violin</t>
        </is>
      </c>
    </row>
    <row r="34" ht="15" customHeight="1">
      <c r="A34" s="13" t="inlineStr">
        <is>
          <t>PAC716A3</t>
        </is>
      </c>
      <c r="B34" s="13">
        <f>VLOOKUP(A34,Table1[[#All],[Participant ID]:[Persona]],7,0)</f>
        <v/>
      </c>
      <c r="C34" s="13" t="inlineStr">
        <is>
          <t>Nannupalimpa_seg0235</t>
        </is>
      </c>
      <c r="D34" s="13" t="inlineStr">
        <is>
          <t>finetuned</t>
        </is>
      </c>
      <c r="E34" s="13" t="inlineStr">
        <is>
          <t>finetuned</t>
        </is>
      </c>
      <c r="F34" s="13" t="inlineStr">
        <is>
          <t>finetuned</t>
        </is>
      </c>
      <c r="G34" s="13" t="inlineStr">
        <is>
          <t>Percussion - Mirudhangam</t>
        </is>
      </c>
    </row>
    <row r="35" ht="15" customHeight="1">
      <c r="A35" s="13" t="inlineStr">
        <is>
          <t>PAC716A3</t>
        </is>
      </c>
      <c r="B35" s="13">
        <f>VLOOKUP(A35,Table1[[#All],[Participant ID]:[Persona]],7,0)</f>
        <v/>
      </c>
      <c r="C35" s="13" t="inlineStr">
        <is>
          <t>Raksha_Bettare_seg0201</t>
        </is>
      </c>
      <c r="D35" s="13" t="inlineStr">
        <is>
          <t>finetuned</t>
        </is>
      </c>
      <c r="E35" s="13" t="inlineStr">
        <is>
          <t>finetuned</t>
        </is>
      </c>
      <c r="F35" s="13" t="inlineStr">
        <is>
          <t>finetuned</t>
        </is>
      </c>
      <c r="G35" s="13" t="inlineStr">
        <is>
          <t>Vocal</t>
        </is>
      </c>
    </row>
    <row r="36" ht="15" customHeight="1">
      <c r="A36" s="13" t="inlineStr">
        <is>
          <t>PAC716A3</t>
        </is>
      </c>
      <c r="B36" s="13">
        <f>VLOOKUP(A36,Table1[[#All],[Participant ID]:[Persona]],7,0)</f>
        <v/>
      </c>
      <c r="C36" s="13" t="inlineStr">
        <is>
          <t>Karpagambike_seg0044</t>
        </is>
      </c>
      <c r="D36" s="13" t="inlineStr">
        <is>
          <t>finetuned</t>
        </is>
      </c>
      <c r="E36" s="13" t="inlineStr">
        <is>
          <t>baseline</t>
        </is>
      </c>
      <c r="F36" s="13" t="inlineStr">
        <is>
          <t>finetuned</t>
        </is>
      </c>
      <c r="G36" s="13" t="inlineStr">
        <is>
          <t>Vocal</t>
        </is>
      </c>
    </row>
    <row r="37" ht="15" customHeight="1">
      <c r="A37" s="13" t="inlineStr">
        <is>
          <t>PAC716A3</t>
        </is>
      </c>
      <c r="B37" s="13">
        <f>VLOOKUP(A37,Table1[[#All],[Participant ID]:[Persona]],7,0)</f>
        <v/>
      </c>
      <c r="C37" s="13" t="inlineStr">
        <is>
          <t>Deva_Deva_Jagadeesha_seg0006</t>
        </is>
      </c>
      <c r="D37" s="13" t="inlineStr">
        <is>
          <t>baseline</t>
        </is>
      </c>
      <c r="E37" s="13" t="inlineStr">
        <is>
          <t>baseline</t>
        </is>
      </c>
      <c r="F37" s="13" t="inlineStr">
        <is>
          <t>baseline</t>
        </is>
      </c>
      <c r="G37" s="13" t="inlineStr">
        <is>
          <t>Instrumental - Violin</t>
        </is>
      </c>
    </row>
    <row r="38" ht="15" customHeight="1">
      <c r="A38" s="13" t="inlineStr">
        <is>
          <t>PA7FA43A</t>
        </is>
      </c>
      <c r="B38" s="13">
        <f>VLOOKUP(A38,Table1[[#All],[Participant ID]:[Persona]],7,0)</f>
        <v/>
      </c>
      <c r="C38" s="13" t="inlineStr">
        <is>
          <t>Nannupalimpa_seg0235</t>
        </is>
      </c>
      <c r="D38" s="13" t="inlineStr">
        <is>
          <t>baseline</t>
        </is>
      </c>
      <c r="E38" s="13" t="inlineStr">
        <is>
          <t>baseline</t>
        </is>
      </c>
      <c r="F38" s="13" t="inlineStr">
        <is>
          <t>baseline</t>
        </is>
      </c>
      <c r="G38" s="13" t="inlineStr">
        <is>
          <t>Percussion - Mirudhangam</t>
        </is>
      </c>
    </row>
    <row r="39" ht="15" customHeight="1">
      <c r="A39" s="13" t="inlineStr">
        <is>
          <t>PA7FA43A</t>
        </is>
      </c>
      <c r="B39" s="13">
        <f>VLOOKUP(A39,Table1[[#All],[Participant ID]:[Persona]],7,0)</f>
        <v/>
      </c>
      <c r="C39" s="13" t="inlineStr">
        <is>
          <t>Ramanatham_Bhajeham_seg0029</t>
        </is>
      </c>
      <c r="D39" s="13" t="inlineStr">
        <is>
          <t>baseline</t>
        </is>
      </c>
      <c r="E39" s="13" t="inlineStr">
        <is>
          <t>baseline</t>
        </is>
      </c>
      <c r="F39" s="13" t="inlineStr">
        <is>
          <t>baseline</t>
        </is>
      </c>
      <c r="G39" s="13" t="inlineStr">
        <is>
          <t>Vocal</t>
        </is>
      </c>
    </row>
    <row r="40" ht="15" customHeight="1">
      <c r="A40" s="13" t="inlineStr">
        <is>
          <t>PA7FA43A</t>
        </is>
      </c>
      <c r="B40" s="13">
        <f>VLOOKUP(A40,Table1[[#All],[Participant ID]:[Persona]],7,0)</f>
        <v/>
      </c>
      <c r="C40" s="13" t="inlineStr">
        <is>
          <t>Raksha_Bettare_seg0201</t>
        </is>
      </c>
      <c r="D40" s="13" t="inlineStr">
        <is>
          <t>baseline</t>
        </is>
      </c>
      <c r="E40" s="13" t="inlineStr">
        <is>
          <t>baseline</t>
        </is>
      </c>
      <c r="F40" s="13" t="inlineStr">
        <is>
          <t>baseline</t>
        </is>
      </c>
      <c r="G40" s="13" t="inlineStr">
        <is>
          <t>Vocal</t>
        </is>
      </c>
    </row>
    <row r="41" ht="15" customHeight="1">
      <c r="A41" s="13" t="inlineStr">
        <is>
          <t>PA7FA43A</t>
        </is>
      </c>
      <c r="B41" s="13">
        <f>VLOOKUP(A41,Table1[[#All],[Participant ID]:[Persona]],7,0)</f>
        <v/>
      </c>
      <c r="C41" s="13" t="inlineStr">
        <is>
          <t>Karpagambike_seg0044</t>
        </is>
      </c>
      <c r="D41" s="13" t="inlineStr">
        <is>
          <t>finetuned</t>
        </is>
      </c>
      <c r="E41" s="13" t="inlineStr">
        <is>
          <t>finetuned</t>
        </is>
      </c>
      <c r="F41" s="13" t="inlineStr">
        <is>
          <t>finetuned</t>
        </is>
      </c>
      <c r="G41" s="13" t="inlineStr">
        <is>
          <t>Vocal</t>
        </is>
      </c>
    </row>
    <row r="42" ht="15" customHeight="1">
      <c r="A42" s="13" t="inlineStr">
        <is>
          <t>PA7FA43A</t>
        </is>
      </c>
      <c r="B42" s="13">
        <f>VLOOKUP(A42,Table1[[#All],[Participant ID]:[Persona]],7,0)</f>
        <v/>
      </c>
      <c r="C42" s="13" t="inlineStr">
        <is>
          <t>Seshachala_Nayakam_seg0142</t>
        </is>
      </c>
      <c r="D42" s="13" t="inlineStr">
        <is>
          <t>finetuned</t>
        </is>
      </c>
      <c r="E42" s="13" t="inlineStr">
        <is>
          <t>finetuned</t>
        </is>
      </c>
      <c r="F42" s="13" t="inlineStr">
        <is>
          <t>finetuned</t>
        </is>
      </c>
      <c r="G42" s="13" t="inlineStr">
        <is>
          <t>Instrumental - Violin</t>
        </is>
      </c>
    </row>
    <row r="43" ht="15" customHeight="1">
      <c r="A43" s="13" t="inlineStr">
        <is>
          <t>PA7FA43A</t>
        </is>
      </c>
      <c r="B43" s="13">
        <f>VLOOKUP(A43,Table1[[#All],[Participant ID]:[Persona]],7,0)</f>
        <v/>
      </c>
      <c r="C43" s="13" t="inlineStr">
        <is>
          <t>Deva_Deva_Jagadeesha_seg0006</t>
        </is>
      </c>
      <c r="D43" s="13" t="inlineStr">
        <is>
          <t>baseline</t>
        </is>
      </c>
      <c r="E43" s="13" t="inlineStr">
        <is>
          <t>baseline</t>
        </is>
      </c>
      <c r="F43" s="13" t="inlineStr">
        <is>
          <t>baseline</t>
        </is>
      </c>
      <c r="G43" s="13" t="inlineStr">
        <is>
          <t>Instrumental - Violin</t>
        </is>
      </c>
    </row>
    <row r="44" ht="15" customHeight="1">
      <c r="A44" s="13" t="inlineStr">
        <is>
          <t>PAFA3928</t>
        </is>
      </c>
      <c r="B44" s="13">
        <f>VLOOKUP(A44,Table1[[#All],[Participant ID]:[Persona]],7,0)</f>
        <v/>
      </c>
      <c r="C44" s="13" t="inlineStr">
        <is>
          <t>Deva_Deva_Jagadeesha_seg0006</t>
        </is>
      </c>
      <c r="D44" s="13" t="inlineStr">
        <is>
          <t>finetuned</t>
        </is>
      </c>
      <c r="E44" s="13" t="inlineStr">
        <is>
          <t>finetuned</t>
        </is>
      </c>
      <c r="F44" s="13" t="inlineStr">
        <is>
          <t>finetuned</t>
        </is>
      </c>
      <c r="G44" s="13" t="inlineStr">
        <is>
          <t>Instrumental - Violin</t>
        </is>
      </c>
    </row>
    <row r="45" ht="15" customHeight="1">
      <c r="A45" s="13" t="inlineStr">
        <is>
          <t>PAFA3928</t>
        </is>
      </c>
      <c r="B45" s="13">
        <f>VLOOKUP(A45,Table1[[#All],[Participant ID]:[Persona]],7,0)</f>
        <v/>
      </c>
      <c r="C45" s="13" t="inlineStr">
        <is>
          <t>Ramanatham_Bhajeham_seg0029</t>
        </is>
      </c>
      <c r="D45" s="13" t="inlineStr">
        <is>
          <t>baseline</t>
        </is>
      </c>
      <c r="E45" s="13" t="inlineStr">
        <is>
          <t>baseline</t>
        </is>
      </c>
      <c r="F45" s="13" t="inlineStr">
        <is>
          <t>baseline</t>
        </is>
      </c>
      <c r="G45" s="13" t="inlineStr">
        <is>
          <t>Vocal</t>
        </is>
      </c>
    </row>
    <row r="46" ht="15" customHeight="1">
      <c r="A46" s="13" t="inlineStr">
        <is>
          <t>PAFA3928</t>
        </is>
      </c>
      <c r="B46" s="13">
        <f>VLOOKUP(A46,Table1[[#All],[Participant ID]:[Persona]],7,0)</f>
        <v/>
      </c>
      <c r="C46" s="13" t="inlineStr">
        <is>
          <t>Karpagambike_seg0044</t>
        </is>
      </c>
      <c r="D46" s="13" t="inlineStr">
        <is>
          <t>finetuned</t>
        </is>
      </c>
      <c r="E46" s="13" t="inlineStr">
        <is>
          <t>baseline</t>
        </is>
      </c>
      <c r="F46" s="13" t="inlineStr">
        <is>
          <t>baseline</t>
        </is>
      </c>
      <c r="G46" s="13" t="inlineStr">
        <is>
          <t>Vocal</t>
        </is>
      </c>
    </row>
    <row r="47" ht="15" customHeight="1">
      <c r="A47" s="13" t="inlineStr">
        <is>
          <t>PAFA3928</t>
        </is>
      </c>
      <c r="B47" s="13">
        <f>VLOOKUP(A47,Table1[[#All],[Participant ID]:[Persona]],7,0)</f>
        <v/>
      </c>
      <c r="C47" s="13" t="inlineStr">
        <is>
          <t>Seshachala_Nayakam_seg0142</t>
        </is>
      </c>
      <c r="D47" s="13" t="inlineStr">
        <is>
          <t>finetuned</t>
        </is>
      </c>
      <c r="E47" s="13" t="inlineStr">
        <is>
          <t>finetuned</t>
        </is>
      </c>
      <c r="F47" s="13" t="inlineStr">
        <is>
          <t>finetuned</t>
        </is>
      </c>
      <c r="G47" s="13" t="inlineStr">
        <is>
          <t>Instrumental - Violin</t>
        </is>
      </c>
    </row>
    <row r="48" ht="15" customHeight="1">
      <c r="A48" s="13" t="inlineStr">
        <is>
          <t>PAFA3928</t>
        </is>
      </c>
      <c r="B48" s="13">
        <f>VLOOKUP(A48,Table1[[#All],[Participant ID]:[Persona]],7,0)</f>
        <v/>
      </c>
      <c r="C48" s="13" t="inlineStr">
        <is>
          <t>Raksha_Bettare_seg0201</t>
        </is>
      </c>
      <c r="D48" s="13" t="inlineStr">
        <is>
          <t>finetuned</t>
        </is>
      </c>
      <c r="E48" s="13" t="inlineStr">
        <is>
          <t>baseline</t>
        </is>
      </c>
      <c r="F48" s="13" t="inlineStr">
        <is>
          <t>baseline</t>
        </is>
      </c>
      <c r="G48" s="13" t="inlineStr">
        <is>
          <t>Vocal</t>
        </is>
      </c>
    </row>
    <row r="49" ht="15" customHeight="1">
      <c r="A49" s="13" t="inlineStr">
        <is>
          <t>PAFA3928</t>
        </is>
      </c>
      <c r="B49" s="13">
        <f>VLOOKUP(A49,Table1[[#All],[Participant ID]:[Persona]],7,0)</f>
        <v/>
      </c>
      <c r="C49" s="13" t="inlineStr">
        <is>
          <t>Nannupalimpa_seg0235</t>
        </is>
      </c>
      <c r="D49" s="13" t="inlineStr">
        <is>
          <t>finetuned</t>
        </is>
      </c>
      <c r="E49" s="13" t="inlineStr">
        <is>
          <t>finetuned</t>
        </is>
      </c>
      <c r="F49" s="13" t="inlineStr">
        <is>
          <t>finetuned</t>
        </is>
      </c>
      <c r="G49" s="13" t="inlineStr">
        <is>
          <t>Percussion - Mirudhangam</t>
        </is>
      </c>
    </row>
    <row r="50" ht="15" customHeight="1">
      <c r="A50" s="13" t="inlineStr">
        <is>
          <t>PAFF06B5</t>
        </is>
      </c>
      <c r="B50" s="13">
        <f>VLOOKUP(A50,Table1[[#All],[Participant ID]:[Persona]],7,0)</f>
        <v/>
      </c>
      <c r="C50" s="13" t="inlineStr">
        <is>
          <t>Raksha_Bettare_seg0201</t>
        </is>
      </c>
      <c r="D50" s="13" t="inlineStr">
        <is>
          <t>baseline</t>
        </is>
      </c>
      <c r="E50" s="13" t="inlineStr">
        <is>
          <t>baseline</t>
        </is>
      </c>
      <c r="F50" s="13" t="inlineStr">
        <is>
          <t>finetuned</t>
        </is>
      </c>
      <c r="G50" s="13" t="inlineStr">
        <is>
          <t>Vocal</t>
        </is>
      </c>
    </row>
    <row r="51" ht="15" customHeight="1">
      <c r="A51" s="13" t="inlineStr">
        <is>
          <t>PAFF06B5</t>
        </is>
      </c>
      <c r="B51" s="13">
        <f>VLOOKUP(A51,Table1[[#All],[Participant ID]:[Persona]],7,0)</f>
        <v/>
      </c>
      <c r="C51" s="13" t="inlineStr">
        <is>
          <t>Deva_Deva_Jagadeesha_seg0006</t>
        </is>
      </c>
      <c r="D51" s="13" t="inlineStr">
        <is>
          <t>finetuned</t>
        </is>
      </c>
      <c r="E51" s="13" t="inlineStr">
        <is>
          <t>baseline</t>
        </is>
      </c>
      <c r="F51" s="13" t="inlineStr">
        <is>
          <t>finetuned</t>
        </is>
      </c>
      <c r="G51" s="13" t="inlineStr">
        <is>
          <t>Instrumental - Violin</t>
        </is>
      </c>
    </row>
    <row r="52" ht="15" customHeight="1">
      <c r="A52" s="13" t="inlineStr">
        <is>
          <t>PAFF06B5</t>
        </is>
      </c>
      <c r="B52" s="13">
        <f>VLOOKUP(A52,Table1[[#All],[Participant ID]:[Persona]],7,0)</f>
        <v/>
      </c>
      <c r="C52" s="13" t="inlineStr">
        <is>
          <t>Nannupalimpa_seg0235</t>
        </is>
      </c>
      <c r="D52" s="13" t="inlineStr">
        <is>
          <t>finetuned</t>
        </is>
      </c>
      <c r="E52" s="13" t="inlineStr">
        <is>
          <t>finetuned</t>
        </is>
      </c>
      <c r="F52" s="13" t="inlineStr">
        <is>
          <t>finetuned</t>
        </is>
      </c>
      <c r="G52" s="13" t="inlineStr">
        <is>
          <t>Percussion - Mirudhangam</t>
        </is>
      </c>
    </row>
    <row r="53" ht="15" customHeight="1">
      <c r="A53" s="13" t="inlineStr">
        <is>
          <t>PAFF06B5</t>
        </is>
      </c>
      <c r="B53" s="13">
        <f>VLOOKUP(A53,Table1[[#All],[Participant ID]:[Persona]],7,0)</f>
        <v/>
      </c>
      <c r="C53" s="13" t="inlineStr">
        <is>
          <t>Ramanatham_Bhajeham_seg0029</t>
        </is>
      </c>
      <c r="D53" s="13" t="inlineStr">
        <is>
          <t>baseline</t>
        </is>
      </c>
      <c r="E53" s="13" t="inlineStr">
        <is>
          <t>baseline</t>
        </is>
      </c>
      <c r="F53" s="13" t="inlineStr">
        <is>
          <t>baseline</t>
        </is>
      </c>
      <c r="G53" s="13" t="inlineStr">
        <is>
          <t>Vocal</t>
        </is>
      </c>
    </row>
    <row r="54" ht="15" customHeight="1">
      <c r="A54" s="13" t="inlineStr">
        <is>
          <t>PAFF06B5</t>
        </is>
      </c>
      <c r="B54" s="13">
        <f>VLOOKUP(A54,Table1[[#All],[Participant ID]:[Persona]],7,0)</f>
        <v/>
      </c>
      <c r="C54" s="13" t="inlineStr">
        <is>
          <t>Seshachala_Nayakam_seg0142</t>
        </is>
      </c>
      <c r="D54" s="13" t="inlineStr">
        <is>
          <t>finetuned</t>
        </is>
      </c>
      <c r="E54" s="13" t="inlineStr">
        <is>
          <t>finetuned</t>
        </is>
      </c>
      <c r="F54" s="13" t="inlineStr">
        <is>
          <t>finetuned</t>
        </is>
      </c>
      <c r="G54" s="13" t="inlineStr">
        <is>
          <t>Instrumental - Violin</t>
        </is>
      </c>
    </row>
    <row r="55" ht="15" customHeight="1">
      <c r="A55" s="13" t="inlineStr">
        <is>
          <t>PAFF06B5</t>
        </is>
      </c>
      <c r="B55" s="13">
        <f>VLOOKUP(A55,Table1[[#All],[Participant ID]:[Persona]],7,0)</f>
        <v/>
      </c>
      <c r="C55" s="13" t="inlineStr">
        <is>
          <t>Karpagambike_seg0044</t>
        </is>
      </c>
      <c r="D55" s="13" t="inlineStr">
        <is>
          <t>baseline</t>
        </is>
      </c>
      <c r="E55" s="13" t="inlineStr">
        <is>
          <t>baseline</t>
        </is>
      </c>
      <c r="F55" s="13" t="inlineStr">
        <is>
          <t>baseline</t>
        </is>
      </c>
      <c r="G55" s="13" t="inlineStr">
        <is>
          <t>Vocal</t>
        </is>
      </c>
    </row>
    <row r="56" ht="15" customHeight="1">
      <c r="A56" s="13" t="inlineStr">
        <is>
          <t>PAFD458E</t>
        </is>
      </c>
      <c r="B56" s="13">
        <f>VLOOKUP(A56,Table1[[#All],[Participant ID]:[Persona]],7,0)</f>
        <v/>
      </c>
      <c r="C56" s="13" t="inlineStr">
        <is>
          <t>Ramanatham_Bhajeham_seg0029</t>
        </is>
      </c>
      <c r="D56" s="13" t="inlineStr">
        <is>
          <t>baseline</t>
        </is>
      </c>
      <c r="E56" s="13" t="inlineStr">
        <is>
          <t>baseline</t>
        </is>
      </c>
      <c r="F56" s="13" t="inlineStr">
        <is>
          <t>baseline</t>
        </is>
      </c>
      <c r="G56" s="13" t="inlineStr">
        <is>
          <t>Vocal</t>
        </is>
      </c>
    </row>
    <row r="57" ht="15" customHeight="1">
      <c r="A57" s="13" t="inlineStr">
        <is>
          <t>PAFD458E</t>
        </is>
      </c>
      <c r="B57" s="13">
        <f>VLOOKUP(A57,Table1[[#All],[Participant ID]:[Persona]],7,0)</f>
        <v/>
      </c>
      <c r="C57" s="13" t="inlineStr">
        <is>
          <t>Seshachala_Nayakam_seg0142</t>
        </is>
      </c>
      <c r="D57" s="13" t="inlineStr">
        <is>
          <t>finetuned</t>
        </is>
      </c>
      <c r="E57" s="13" t="inlineStr">
        <is>
          <t>finetuned</t>
        </is>
      </c>
      <c r="F57" s="13" t="inlineStr">
        <is>
          <t>finetuned</t>
        </is>
      </c>
      <c r="G57" s="13" t="inlineStr">
        <is>
          <t>Instrumental - Violin</t>
        </is>
      </c>
    </row>
    <row r="58" ht="15" customHeight="1">
      <c r="A58" s="13" t="inlineStr">
        <is>
          <t>PAFD458E</t>
        </is>
      </c>
      <c r="B58" s="13">
        <f>VLOOKUP(A58,Table1[[#All],[Participant ID]:[Persona]],7,0)</f>
        <v/>
      </c>
      <c r="C58" s="13" t="inlineStr">
        <is>
          <t>Deva_Deva_Jagadeesha_seg0006</t>
        </is>
      </c>
      <c r="D58" s="13" t="inlineStr">
        <is>
          <t>finetuned</t>
        </is>
      </c>
      <c r="E58" s="13" t="inlineStr">
        <is>
          <t>finetuned</t>
        </is>
      </c>
      <c r="F58" s="13" t="inlineStr">
        <is>
          <t>finetuned</t>
        </is>
      </c>
      <c r="G58" s="13" t="inlineStr">
        <is>
          <t>Instrumental - Violin</t>
        </is>
      </c>
    </row>
    <row r="59" ht="15" customHeight="1">
      <c r="A59" s="13" t="inlineStr">
        <is>
          <t>PAFD458E</t>
        </is>
      </c>
      <c r="B59" s="13">
        <f>VLOOKUP(A59,Table1[[#All],[Participant ID]:[Persona]],7,0)</f>
        <v/>
      </c>
      <c r="C59" s="13" t="inlineStr">
        <is>
          <t>Nannupalimpa_seg0235</t>
        </is>
      </c>
      <c r="D59" s="13" t="inlineStr">
        <is>
          <t>finetuned</t>
        </is>
      </c>
      <c r="E59" s="13" t="inlineStr">
        <is>
          <t>finetuned</t>
        </is>
      </c>
      <c r="F59" s="13" t="inlineStr">
        <is>
          <t>finetuned</t>
        </is>
      </c>
      <c r="G59" s="13" t="inlineStr">
        <is>
          <t>Percussion - Mirudhangam</t>
        </is>
      </c>
    </row>
    <row r="60" ht="15" customHeight="1">
      <c r="A60" s="13" t="inlineStr">
        <is>
          <t>PAFD458E</t>
        </is>
      </c>
      <c r="B60" s="13">
        <f>VLOOKUP(A60,Table1[[#All],[Participant ID]:[Persona]],7,0)</f>
        <v/>
      </c>
      <c r="C60" s="13" t="inlineStr">
        <is>
          <t>Raksha_Bettare_seg0201</t>
        </is>
      </c>
      <c r="D60" s="13" t="inlineStr">
        <is>
          <t>finetuned</t>
        </is>
      </c>
      <c r="E60" s="13" t="inlineStr">
        <is>
          <t>finetuned</t>
        </is>
      </c>
      <c r="F60" s="13" t="inlineStr">
        <is>
          <t>finetuned</t>
        </is>
      </c>
      <c r="G60" s="13" t="inlineStr">
        <is>
          <t>Vocal</t>
        </is>
      </c>
    </row>
    <row r="61" ht="15" customHeight="1">
      <c r="A61" s="13" t="inlineStr">
        <is>
          <t>PAFD458E</t>
        </is>
      </c>
      <c r="B61" s="13">
        <f>VLOOKUP(A61,Table1[[#All],[Participant ID]:[Persona]],7,0)</f>
        <v/>
      </c>
      <c r="C61" s="13" t="inlineStr">
        <is>
          <t>Karpagambike_seg0044</t>
        </is>
      </c>
      <c r="D61" s="13" t="inlineStr">
        <is>
          <t>baseline</t>
        </is>
      </c>
      <c r="E61" s="13" t="inlineStr">
        <is>
          <t>finetuned</t>
        </is>
      </c>
      <c r="F61" s="13" t="inlineStr">
        <is>
          <t>baseline</t>
        </is>
      </c>
      <c r="G61" s="13" t="inlineStr">
        <is>
          <t>Vocal</t>
        </is>
      </c>
    </row>
    <row r="62" ht="15" customHeight="1">
      <c r="A62" s="13" t="inlineStr">
        <is>
          <t>PA63AB30</t>
        </is>
      </c>
      <c r="B62" s="13">
        <f>VLOOKUP(A62,Table1[[#All],[Participant ID]:[Persona]],7,0)</f>
        <v/>
      </c>
      <c r="C62" s="13" t="inlineStr">
        <is>
          <t>Raksha_Bettare_seg0201</t>
        </is>
      </c>
      <c r="D62" s="13" t="inlineStr">
        <is>
          <t>baseline</t>
        </is>
      </c>
      <c r="E62" s="13" t="inlineStr">
        <is>
          <t>finetuned</t>
        </is>
      </c>
      <c r="F62" s="13" t="inlineStr">
        <is>
          <t>baseline</t>
        </is>
      </c>
      <c r="G62" s="13" t="inlineStr">
        <is>
          <t>Vocal</t>
        </is>
      </c>
    </row>
    <row r="63" ht="15" customHeight="1">
      <c r="A63" s="13" t="inlineStr">
        <is>
          <t>PA63AB30</t>
        </is>
      </c>
      <c r="B63" s="13">
        <f>VLOOKUP(A63,Table1[[#All],[Participant ID]:[Persona]],7,0)</f>
        <v/>
      </c>
      <c r="C63" s="13" t="inlineStr">
        <is>
          <t>Nannupalimpa_seg0235</t>
        </is>
      </c>
      <c r="D63" s="13" t="inlineStr">
        <is>
          <t>finetuned</t>
        </is>
      </c>
      <c r="E63" s="13" t="inlineStr">
        <is>
          <t>baseline</t>
        </is>
      </c>
      <c r="F63" s="13" t="inlineStr">
        <is>
          <t>finetuned</t>
        </is>
      </c>
      <c r="G63" s="13" t="inlineStr">
        <is>
          <t>Percussion - Mirudhangam</t>
        </is>
      </c>
    </row>
    <row r="64" ht="15" customHeight="1">
      <c r="A64" s="13" t="inlineStr">
        <is>
          <t>PA63AB30</t>
        </is>
      </c>
      <c r="B64" s="13">
        <f>VLOOKUP(A64,Table1[[#All],[Participant ID]:[Persona]],7,0)</f>
        <v/>
      </c>
      <c r="C64" s="13" t="inlineStr">
        <is>
          <t>Ramanatham_Bhajeham_seg0029</t>
        </is>
      </c>
      <c r="D64" s="13" t="inlineStr">
        <is>
          <t>baseline</t>
        </is>
      </c>
      <c r="E64" s="13" t="inlineStr">
        <is>
          <t>finetuned</t>
        </is>
      </c>
      <c r="F64" s="13" t="inlineStr">
        <is>
          <t>baseline</t>
        </is>
      </c>
      <c r="G64" s="13" t="inlineStr">
        <is>
          <t>Vocal</t>
        </is>
      </c>
    </row>
    <row r="65" ht="15" customHeight="1">
      <c r="A65" s="13" t="inlineStr">
        <is>
          <t>PA63AB30</t>
        </is>
      </c>
      <c r="B65" s="13">
        <f>VLOOKUP(A65,Table1[[#All],[Participant ID]:[Persona]],7,0)</f>
        <v/>
      </c>
      <c r="C65" s="13" t="inlineStr">
        <is>
          <t>Seshachala_Nayakam_seg0142</t>
        </is>
      </c>
      <c r="D65" s="13" t="inlineStr">
        <is>
          <t>finetuned</t>
        </is>
      </c>
      <c r="E65" s="13" t="inlineStr">
        <is>
          <t>finetuned</t>
        </is>
      </c>
      <c r="F65" s="13" t="inlineStr">
        <is>
          <t>finetuned</t>
        </is>
      </c>
      <c r="G65" s="13" t="inlineStr">
        <is>
          <t>Instrumental - Violin</t>
        </is>
      </c>
    </row>
    <row r="66" ht="15" customHeight="1">
      <c r="A66" s="13" t="inlineStr">
        <is>
          <t>PA63AB30</t>
        </is>
      </c>
      <c r="B66" s="13">
        <f>VLOOKUP(A66,Table1[[#All],[Participant ID]:[Persona]],7,0)</f>
        <v/>
      </c>
      <c r="C66" s="13" t="inlineStr">
        <is>
          <t>Deva_Deva_Jagadeesha_seg0006</t>
        </is>
      </c>
      <c r="D66" s="13" t="inlineStr">
        <is>
          <t>finetuned</t>
        </is>
      </c>
      <c r="E66" s="13" t="inlineStr">
        <is>
          <t>finetuned</t>
        </is>
      </c>
      <c r="F66" s="13" t="inlineStr">
        <is>
          <t>baseline</t>
        </is>
      </c>
      <c r="G66" s="13" t="inlineStr">
        <is>
          <t>Instrumental - Violin</t>
        </is>
      </c>
    </row>
    <row r="67" ht="15" customHeight="1">
      <c r="A67" s="13" t="inlineStr">
        <is>
          <t>PA63AB30</t>
        </is>
      </c>
      <c r="B67" s="13">
        <f>VLOOKUP(A67,Table1[[#All],[Participant ID]:[Persona]],7,0)</f>
        <v/>
      </c>
      <c r="C67" s="13" t="inlineStr">
        <is>
          <t>Karpagambike_seg0044</t>
        </is>
      </c>
      <c r="D67" s="13" t="inlineStr">
        <is>
          <t>baseline</t>
        </is>
      </c>
      <c r="E67" s="13" t="inlineStr">
        <is>
          <t>baseline</t>
        </is>
      </c>
      <c r="F67" s="13" t="inlineStr">
        <is>
          <t>finetuned</t>
        </is>
      </c>
      <c r="G67" s="13" t="inlineStr">
        <is>
          <t>Vocal</t>
        </is>
      </c>
    </row>
    <row r="68" ht="15" customHeight="1">
      <c r="A68" s="13" t="inlineStr">
        <is>
          <t>PAC63068</t>
        </is>
      </c>
      <c r="B68" s="13">
        <f>VLOOKUP(A68,Table1[[#All],[Participant ID]:[Persona]],7,0)</f>
        <v/>
      </c>
      <c r="C68" s="13" t="inlineStr">
        <is>
          <t>Raksha_Bettare_seg0201</t>
        </is>
      </c>
      <c r="D68" s="13" t="inlineStr">
        <is>
          <t>baseline</t>
        </is>
      </c>
      <c r="E68" s="13" t="inlineStr">
        <is>
          <t>baseline</t>
        </is>
      </c>
      <c r="F68" s="13" t="inlineStr">
        <is>
          <t>finetuned</t>
        </is>
      </c>
      <c r="G68" s="13" t="inlineStr">
        <is>
          <t>Vocal</t>
        </is>
      </c>
    </row>
    <row r="69" ht="15" customHeight="1">
      <c r="A69" s="13" t="inlineStr">
        <is>
          <t>PAC63068</t>
        </is>
      </c>
      <c r="B69" s="13">
        <f>VLOOKUP(A69,Table1[[#All],[Participant ID]:[Persona]],7,0)</f>
        <v/>
      </c>
      <c r="C69" s="13" t="inlineStr">
        <is>
          <t>Deva_Deva_Jagadeesha_seg0006</t>
        </is>
      </c>
      <c r="D69" s="13" t="inlineStr">
        <is>
          <t>finetuned</t>
        </is>
      </c>
      <c r="E69" s="13" t="inlineStr">
        <is>
          <t>finetuned</t>
        </is>
      </c>
      <c r="F69" s="13" t="inlineStr">
        <is>
          <t>finetuned</t>
        </is>
      </c>
      <c r="G69" s="13" t="inlineStr">
        <is>
          <t>Instrumental - Violin</t>
        </is>
      </c>
    </row>
    <row r="70" ht="15" customHeight="1">
      <c r="A70" s="13" t="inlineStr">
        <is>
          <t>PAC63068</t>
        </is>
      </c>
      <c r="B70" s="13">
        <f>VLOOKUP(A70,Table1[[#All],[Participant ID]:[Persona]],7,0)</f>
        <v/>
      </c>
      <c r="C70" s="13" t="inlineStr">
        <is>
          <t>Karpagambike_seg0044</t>
        </is>
      </c>
      <c r="D70" s="13" t="inlineStr">
        <is>
          <t>baseline</t>
        </is>
      </c>
      <c r="E70" s="13" t="inlineStr">
        <is>
          <t>finetuned</t>
        </is>
      </c>
      <c r="F70" s="13" t="inlineStr">
        <is>
          <t>baseline</t>
        </is>
      </c>
      <c r="G70" s="13" t="inlineStr">
        <is>
          <t>Vocal</t>
        </is>
      </c>
    </row>
    <row r="71" ht="15" customHeight="1">
      <c r="A71" s="13" t="inlineStr">
        <is>
          <t>PAC63068</t>
        </is>
      </c>
      <c r="B71" s="13">
        <f>VLOOKUP(A71,Table1[[#All],[Participant ID]:[Persona]],7,0)</f>
        <v/>
      </c>
      <c r="C71" s="13" t="inlineStr">
        <is>
          <t>Seshachala_Nayakam_seg0142</t>
        </is>
      </c>
      <c r="D71" s="13" t="inlineStr">
        <is>
          <t>finetuned</t>
        </is>
      </c>
      <c r="E71" s="13" t="inlineStr">
        <is>
          <t>finetuned</t>
        </is>
      </c>
      <c r="F71" s="13" t="inlineStr">
        <is>
          <t>finetuned</t>
        </is>
      </c>
      <c r="G71" s="13" t="inlineStr">
        <is>
          <t>Instrumental - Violin</t>
        </is>
      </c>
    </row>
    <row r="72" ht="15" customHeight="1">
      <c r="A72" s="13" t="inlineStr">
        <is>
          <t>PAC63068</t>
        </is>
      </c>
      <c r="B72" s="13">
        <f>VLOOKUP(A72,Table1[[#All],[Participant ID]:[Persona]],7,0)</f>
        <v/>
      </c>
      <c r="C72" s="13" t="inlineStr">
        <is>
          <t>Nannupalimpa_seg0235</t>
        </is>
      </c>
      <c r="D72" s="13" t="inlineStr">
        <is>
          <t>finetuned</t>
        </is>
      </c>
      <c r="E72" s="13" t="inlineStr">
        <is>
          <t>baseline</t>
        </is>
      </c>
      <c r="F72" s="13" t="inlineStr">
        <is>
          <t>finetuned</t>
        </is>
      </c>
      <c r="G72" s="13" t="inlineStr">
        <is>
          <t>Percussion - Mirudhangam</t>
        </is>
      </c>
    </row>
    <row r="73" ht="15" customHeight="1">
      <c r="A73" s="13" t="inlineStr">
        <is>
          <t>PAC63068</t>
        </is>
      </c>
      <c r="B73" s="13">
        <f>VLOOKUP(A73,Table1[[#All],[Participant ID]:[Persona]],7,0)</f>
        <v/>
      </c>
      <c r="C73" s="13" t="inlineStr">
        <is>
          <t>Ramanatham_Bhajeham_seg0029</t>
        </is>
      </c>
      <c r="D73" s="13" t="inlineStr">
        <is>
          <t>baseline</t>
        </is>
      </c>
      <c r="E73" s="13" t="inlineStr">
        <is>
          <t>baseline</t>
        </is>
      </c>
      <c r="F73" s="13" t="inlineStr">
        <is>
          <t>finetuned</t>
        </is>
      </c>
      <c r="G73" s="13" t="inlineStr">
        <is>
          <t>Vocal</t>
        </is>
      </c>
    </row>
    <row r="74" ht="15" customHeight="1">
      <c r="A74" s="13" t="inlineStr">
        <is>
          <t>PA733F90</t>
        </is>
      </c>
      <c r="B74" s="13">
        <f>VLOOKUP(A74,Table1[[#All],[Participant ID]:[Persona]],7,0)</f>
        <v/>
      </c>
      <c r="C74" s="13" t="inlineStr">
        <is>
          <t>Raksha_Bettare_seg0201</t>
        </is>
      </c>
      <c r="D74" s="13" t="inlineStr">
        <is>
          <t>baseline</t>
        </is>
      </c>
      <c r="E74" s="13" t="inlineStr">
        <is>
          <t>baseline</t>
        </is>
      </c>
      <c r="F74" s="13" t="inlineStr">
        <is>
          <t>baseline</t>
        </is>
      </c>
      <c r="G74" s="13" t="inlineStr">
        <is>
          <t>Vocal</t>
        </is>
      </c>
    </row>
    <row r="75" ht="15" customHeight="1">
      <c r="A75" s="13" t="inlineStr">
        <is>
          <t>PA733F90</t>
        </is>
      </c>
      <c r="B75" s="13">
        <f>VLOOKUP(A75,Table1[[#All],[Participant ID]:[Persona]],7,0)</f>
        <v/>
      </c>
      <c r="C75" s="13" t="inlineStr">
        <is>
          <t>Deva_Deva_Jagadeesha_seg0006</t>
        </is>
      </c>
      <c r="D75" s="13" t="inlineStr">
        <is>
          <t>finetuned</t>
        </is>
      </c>
      <c r="E75" s="13" t="inlineStr">
        <is>
          <t>finetuned</t>
        </is>
      </c>
      <c r="F75" s="13" t="inlineStr">
        <is>
          <t>finetuned</t>
        </is>
      </c>
      <c r="G75" s="13" t="inlineStr">
        <is>
          <t>Instrumental - Violin</t>
        </is>
      </c>
    </row>
    <row r="76" ht="15" customHeight="1">
      <c r="A76" s="13" t="inlineStr">
        <is>
          <t>PA733F90</t>
        </is>
      </c>
      <c r="B76" s="13">
        <f>VLOOKUP(A76,Table1[[#All],[Participant ID]:[Persona]],7,0)</f>
        <v/>
      </c>
      <c r="C76" s="13" t="inlineStr">
        <is>
          <t>Nannupalimpa_seg0235</t>
        </is>
      </c>
      <c r="D76" s="13" t="inlineStr">
        <is>
          <t>finetuned</t>
        </is>
      </c>
      <c r="E76" s="13" t="inlineStr">
        <is>
          <t>finetuned</t>
        </is>
      </c>
      <c r="F76" s="13" t="inlineStr">
        <is>
          <t>finetuned</t>
        </is>
      </c>
      <c r="G76" s="13" t="inlineStr">
        <is>
          <t>Percussion - Mirudhangam</t>
        </is>
      </c>
    </row>
    <row r="77" ht="15" customHeight="1">
      <c r="A77" s="13" t="inlineStr">
        <is>
          <t>PA733F90</t>
        </is>
      </c>
      <c r="B77" s="13">
        <f>VLOOKUP(A77,Table1[[#All],[Participant ID]:[Persona]],7,0)</f>
        <v/>
      </c>
      <c r="C77" s="13" t="inlineStr">
        <is>
          <t>Seshachala_Nayakam_seg0142</t>
        </is>
      </c>
      <c r="D77" s="13" t="inlineStr">
        <is>
          <t>finetuned</t>
        </is>
      </c>
      <c r="E77" s="13" t="inlineStr">
        <is>
          <t>finetuned</t>
        </is>
      </c>
      <c r="F77" s="13" t="inlineStr">
        <is>
          <t>finetuned</t>
        </is>
      </c>
      <c r="G77" s="13" t="inlineStr">
        <is>
          <t>Instrumental - Violin</t>
        </is>
      </c>
    </row>
    <row r="78" ht="15" customHeight="1">
      <c r="A78" s="13" t="inlineStr">
        <is>
          <t>PA733F90</t>
        </is>
      </c>
      <c r="B78" s="13">
        <f>VLOOKUP(A78,Table1[[#All],[Participant ID]:[Persona]],7,0)</f>
        <v/>
      </c>
      <c r="C78" s="13" t="inlineStr">
        <is>
          <t>Karpagambike_seg0044</t>
        </is>
      </c>
      <c r="D78" s="13" t="inlineStr">
        <is>
          <t>baseline</t>
        </is>
      </c>
      <c r="E78" s="13" t="inlineStr">
        <is>
          <t>baseline</t>
        </is>
      </c>
      <c r="F78" s="13" t="inlineStr">
        <is>
          <t>baseline</t>
        </is>
      </c>
      <c r="G78" s="13" t="inlineStr">
        <is>
          <t>Vocal</t>
        </is>
      </c>
    </row>
    <row r="79" ht="15" customHeight="1">
      <c r="A79" s="13" t="inlineStr">
        <is>
          <t>PA733F90</t>
        </is>
      </c>
      <c r="B79" s="13">
        <f>VLOOKUP(A79,Table1[[#All],[Participant ID]:[Persona]],7,0)</f>
        <v/>
      </c>
      <c r="C79" s="13" t="inlineStr">
        <is>
          <t>Ramanatham_Bhajeham_seg0029</t>
        </is>
      </c>
      <c r="D79" s="13" t="inlineStr">
        <is>
          <t>baseline</t>
        </is>
      </c>
      <c r="E79" s="13" t="inlineStr">
        <is>
          <t>baseline</t>
        </is>
      </c>
      <c r="F79" s="13" t="inlineStr">
        <is>
          <t>baseline</t>
        </is>
      </c>
      <c r="G79" s="13" t="inlineStr">
        <is>
          <t>Vocal</t>
        </is>
      </c>
    </row>
    <row r="80" ht="15" customHeight="1">
      <c r="A80" s="13" t="inlineStr">
        <is>
          <t>PAABD6E8</t>
        </is>
      </c>
      <c r="B80" s="13">
        <f>VLOOKUP(A80,Table1[[#All],[Participant ID]:[Persona]],7,0)</f>
        <v/>
      </c>
      <c r="C80" s="13" t="inlineStr">
        <is>
          <t>Seshachala_Nayakam_seg0142</t>
        </is>
      </c>
      <c r="D80" s="13" t="inlineStr">
        <is>
          <t>baseline</t>
        </is>
      </c>
      <c r="E80" s="13" t="inlineStr">
        <is>
          <t>baseline</t>
        </is>
      </c>
      <c r="F80" s="13" t="inlineStr">
        <is>
          <t>baseline</t>
        </is>
      </c>
      <c r="G80" s="13" t="inlineStr">
        <is>
          <t>Instrumental - Violin</t>
        </is>
      </c>
    </row>
    <row r="81" ht="15" customHeight="1">
      <c r="A81" s="13" t="inlineStr">
        <is>
          <t>PAABD6E8</t>
        </is>
      </c>
      <c r="B81" s="13">
        <f>VLOOKUP(A81,Table1[[#All],[Participant ID]:[Persona]],7,0)</f>
        <v/>
      </c>
      <c r="C81" s="13" t="inlineStr">
        <is>
          <t>Ramanatham_Bhajeham_seg0029</t>
        </is>
      </c>
      <c r="D81" s="13" t="inlineStr">
        <is>
          <t>finetuned</t>
        </is>
      </c>
      <c r="E81" s="13" t="inlineStr">
        <is>
          <t>finetuned</t>
        </is>
      </c>
      <c r="F81" s="13" t="inlineStr">
        <is>
          <t>finetuned</t>
        </is>
      </c>
      <c r="G81" s="13" t="inlineStr">
        <is>
          <t>Vocal</t>
        </is>
      </c>
    </row>
    <row r="82" ht="15" customHeight="1">
      <c r="A82" s="13" t="inlineStr">
        <is>
          <t>PAABD6E8</t>
        </is>
      </c>
      <c r="B82" s="13">
        <f>VLOOKUP(A82,Table1[[#All],[Participant ID]:[Persona]],7,0)</f>
        <v/>
      </c>
      <c r="C82" s="13" t="inlineStr">
        <is>
          <t>Deva_Deva_Jagadeesha_seg0006</t>
        </is>
      </c>
      <c r="D82" s="13" t="inlineStr">
        <is>
          <t>baseline</t>
        </is>
      </c>
      <c r="E82" s="13" t="inlineStr">
        <is>
          <t>baseline</t>
        </is>
      </c>
      <c r="F82" s="13" t="inlineStr">
        <is>
          <t>baseline</t>
        </is>
      </c>
      <c r="G82" s="13" t="inlineStr">
        <is>
          <t>Instrumental - Violin</t>
        </is>
      </c>
    </row>
    <row r="83" ht="15" customHeight="1">
      <c r="A83" s="13" t="inlineStr">
        <is>
          <t>PAABD6E8</t>
        </is>
      </c>
      <c r="B83" s="13">
        <f>VLOOKUP(A83,Table1[[#All],[Participant ID]:[Persona]],7,0)</f>
        <v/>
      </c>
      <c r="C83" s="13" t="inlineStr">
        <is>
          <t>Nannupalimpa_seg0235</t>
        </is>
      </c>
      <c r="D83" s="13" t="inlineStr">
        <is>
          <t>finetuned</t>
        </is>
      </c>
      <c r="E83" s="13" t="inlineStr">
        <is>
          <t>finetuned</t>
        </is>
      </c>
      <c r="F83" s="13" t="inlineStr">
        <is>
          <t>finetuned</t>
        </is>
      </c>
      <c r="G83" s="13" t="inlineStr">
        <is>
          <t>Percussion - Mirudhangam</t>
        </is>
      </c>
    </row>
    <row r="84" ht="15" customHeight="1">
      <c r="A84" s="13" t="inlineStr">
        <is>
          <t>PAABD6E8</t>
        </is>
      </c>
      <c r="B84" s="13">
        <f>VLOOKUP(A84,Table1[[#All],[Participant ID]:[Persona]],7,0)</f>
        <v/>
      </c>
      <c r="C84" s="13" t="inlineStr">
        <is>
          <t>Karpagambike_seg0044</t>
        </is>
      </c>
      <c r="D84" s="13" t="inlineStr">
        <is>
          <t>finetuned</t>
        </is>
      </c>
      <c r="E84" s="13" t="inlineStr">
        <is>
          <t>finetuned</t>
        </is>
      </c>
      <c r="F84" s="13" t="inlineStr">
        <is>
          <t>finetuned</t>
        </is>
      </c>
      <c r="G84" s="13" t="inlineStr">
        <is>
          <t>Vocal</t>
        </is>
      </c>
    </row>
    <row r="85" ht="15" customHeight="1">
      <c r="A85" s="13" t="inlineStr">
        <is>
          <t>PAABD6E8</t>
        </is>
      </c>
      <c r="B85" s="13">
        <f>VLOOKUP(A85,Table1[[#All],[Participant ID]:[Persona]],7,0)</f>
        <v/>
      </c>
      <c r="C85" s="13" t="inlineStr">
        <is>
          <t>Raksha_Bettare_seg0201</t>
        </is>
      </c>
      <c r="D85" s="13" t="inlineStr">
        <is>
          <t>baseline</t>
        </is>
      </c>
      <c r="E85" s="13" t="inlineStr">
        <is>
          <t>baseline</t>
        </is>
      </c>
      <c r="F85" s="13" t="inlineStr">
        <is>
          <t>baseline</t>
        </is>
      </c>
      <c r="G85" s="13" t="inlineStr">
        <is>
          <t>Vocal</t>
        </is>
      </c>
    </row>
    <row r="86" ht="15" customHeight="1">
      <c r="A86" s="13" t="inlineStr">
        <is>
          <t>PACED268</t>
        </is>
      </c>
      <c r="B86" s="13">
        <f>VLOOKUP(A86,Table1[[#All],[Participant ID]:[Persona]],7,0)</f>
        <v/>
      </c>
      <c r="C86" s="13" t="inlineStr">
        <is>
          <t>Deva_Deva_Jagadeesha_seg0006</t>
        </is>
      </c>
      <c r="D86" s="13" t="inlineStr">
        <is>
          <t>baseline</t>
        </is>
      </c>
      <c r="E86" s="13" t="inlineStr">
        <is>
          <t>baseline</t>
        </is>
      </c>
      <c r="F86" s="13" t="inlineStr">
        <is>
          <t>finetuned</t>
        </is>
      </c>
      <c r="G86" s="13" t="inlineStr">
        <is>
          <t>Instrumental - Violin</t>
        </is>
      </c>
    </row>
    <row r="87" ht="15" customHeight="1">
      <c r="A87" s="13" t="inlineStr">
        <is>
          <t>PACED268</t>
        </is>
      </c>
      <c r="B87" s="13">
        <f>VLOOKUP(A87,Table1[[#All],[Participant ID]:[Persona]],7,0)</f>
        <v/>
      </c>
      <c r="C87" s="13" t="inlineStr">
        <is>
          <t>Nannupalimpa_seg0235</t>
        </is>
      </c>
      <c r="D87" s="13" t="inlineStr">
        <is>
          <t>baseline</t>
        </is>
      </c>
      <c r="E87" s="13" t="inlineStr">
        <is>
          <t>baseline</t>
        </is>
      </c>
      <c r="F87" s="13" t="inlineStr">
        <is>
          <t>baseline</t>
        </is>
      </c>
      <c r="G87" s="13" t="inlineStr">
        <is>
          <t>Percussion - Mirudhangam</t>
        </is>
      </c>
    </row>
    <row r="88" ht="15" customHeight="1">
      <c r="A88" s="13" t="inlineStr">
        <is>
          <t>PACED268</t>
        </is>
      </c>
      <c r="B88" s="13">
        <f>VLOOKUP(A88,Table1[[#All],[Participant ID]:[Persona]],7,0)</f>
        <v/>
      </c>
      <c r="C88" s="13" t="inlineStr">
        <is>
          <t>Seshachala_Nayakam_seg0142</t>
        </is>
      </c>
      <c r="D88" s="13" t="inlineStr">
        <is>
          <t>finetuned</t>
        </is>
      </c>
      <c r="E88" s="13" t="inlineStr">
        <is>
          <t>finetuned</t>
        </is>
      </c>
      <c r="F88" s="13" t="inlineStr">
        <is>
          <t>finetuned</t>
        </is>
      </c>
      <c r="G88" s="13" t="inlineStr">
        <is>
          <t>Instrumental - Violin</t>
        </is>
      </c>
    </row>
    <row r="89" ht="15" customHeight="1">
      <c r="A89" s="13" t="inlineStr">
        <is>
          <t>PACED268</t>
        </is>
      </c>
      <c r="B89" s="13">
        <f>VLOOKUP(A89,Table1[[#All],[Participant ID]:[Persona]],7,0)</f>
        <v/>
      </c>
      <c r="C89" s="13" t="inlineStr">
        <is>
          <t>Karpagambike_seg0044</t>
        </is>
      </c>
      <c r="D89" s="13" t="inlineStr">
        <is>
          <t>baseline</t>
        </is>
      </c>
      <c r="E89" s="13" t="inlineStr">
        <is>
          <t>baseline</t>
        </is>
      </c>
      <c r="F89" s="13" t="inlineStr">
        <is>
          <t>finetuned</t>
        </is>
      </c>
      <c r="G89" s="13" t="inlineStr">
        <is>
          <t>Vocal</t>
        </is>
      </c>
    </row>
    <row r="90" ht="15" customHeight="1">
      <c r="A90" s="13" t="inlineStr">
        <is>
          <t>PACED268</t>
        </is>
      </c>
      <c r="B90" s="13">
        <f>VLOOKUP(A90,Table1[[#All],[Participant ID]:[Persona]],7,0)</f>
        <v/>
      </c>
      <c r="C90" s="13" t="inlineStr">
        <is>
          <t>Raksha_Bettare_seg0201</t>
        </is>
      </c>
      <c r="D90" s="13" t="inlineStr">
        <is>
          <t>finetuned</t>
        </is>
      </c>
      <c r="E90" s="13" t="inlineStr">
        <is>
          <t>finetuned</t>
        </is>
      </c>
      <c r="F90" s="13" t="inlineStr">
        <is>
          <t>baseline</t>
        </is>
      </c>
      <c r="G90" s="13" t="inlineStr">
        <is>
          <t>Vocal</t>
        </is>
      </c>
    </row>
    <row r="91" ht="15" customHeight="1">
      <c r="A91" s="13" t="inlineStr">
        <is>
          <t>PACED268</t>
        </is>
      </c>
      <c r="B91" s="13">
        <f>VLOOKUP(A91,Table1[[#All],[Participant ID]:[Persona]],7,0)</f>
        <v/>
      </c>
      <c r="C91" s="13" t="inlineStr">
        <is>
          <t>Ramanatham_Bhajeham_seg0029</t>
        </is>
      </c>
      <c r="D91" s="13" t="inlineStr">
        <is>
          <t>finetuned</t>
        </is>
      </c>
      <c r="E91" s="13" t="inlineStr">
        <is>
          <t>finetuned</t>
        </is>
      </c>
      <c r="F91" s="13" t="inlineStr">
        <is>
          <t>finetuned</t>
        </is>
      </c>
      <c r="G91" s="13" t="inlineStr">
        <is>
          <t>Vocal</t>
        </is>
      </c>
    </row>
    <row r="92" ht="15" customHeight="1">
      <c r="A92" s="13" t="inlineStr">
        <is>
          <t>PAB9BE11</t>
        </is>
      </c>
      <c r="B92" s="13">
        <f>VLOOKUP(A92,Table1[[#All],[Participant ID]:[Persona]],7,0)</f>
        <v/>
      </c>
      <c r="C92" s="13" t="inlineStr">
        <is>
          <t>Nannupalimpa_seg0235</t>
        </is>
      </c>
      <c r="D92" s="13" t="inlineStr">
        <is>
          <t>baseline</t>
        </is>
      </c>
      <c r="E92" s="13" t="inlineStr">
        <is>
          <t>finetuned</t>
        </is>
      </c>
      <c r="F92" s="13" t="inlineStr">
        <is>
          <t>finetuned</t>
        </is>
      </c>
      <c r="G92" s="13" t="inlineStr">
        <is>
          <t>Percussion - Mirudhangam</t>
        </is>
      </c>
    </row>
    <row r="93" ht="15" customHeight="1">
      <c r="A93" s="13" t="inlineStr">
        <is>
          <t>PAB9BE11</t>
        </is>
      </c>
      <c r="B93" s="13">
        <f>VLOOKUP(A93,Table1[[#All],[Participant ID]:[Persona]],7,0)</f>
        <v/>
      </c>
      <c r="C93" s="13" t="inlineStr">
        <is>
          <t>Raksha_Bettare_seg0201</t>
        </is>
      </c>
      <c r="D93" s="13" t="inlineStr">
        <is>
          <t>finetuned</t>
        </is>
      </c>
      <c r="E93" s="13" t="inlineStr">
        <is>
          <t>finetuned</t>
        </is>
      </c>
      <c r="F93" s="13" t="inlineStr">
        <is>
          <t>baseline</t>
        </is>
      </c>
      <c r="G93" s="13" t="inlineStr">
        <is>
          <t>Vocal</t>
        </is>
      </c>
    </row>
    <row r="94" ht="15" customHeight="1">
      <c r="A94" s="13" t="inlineStr">
        <is>
          <t>PAB9BE11</t>
        </is>
      </c>
      <c r="B94" s="13">
        <f>VLOOKUP(A94,Table1[[#All],[Participant ID]:[Persona]],7,0)</f>
        <v/>
      </c>
      <c r="C94" s="13" t="inlineStr">
        <is>
          <t>Ramanatham_Bhajeham_seg0029</t>
        </is>
      </c>
      <c r="D94" s="13" t="inlineStr">
        <is>
          <t>baseline</t>
        </is>
      </c>
      <c r="E94" s="13" t="inlineStr">
        <is>
          <t>baseline</t>
        </is>
      </c>
      <c r="F94" s="13" t="inlineStr">
        <is>
          <t>baseline</t>
        </is>
      </c>
      <c r="G94" s="13" t="inlineStr">
        <is>
          <t>Vocal</t>
        </is>
      </c>
    </row>
    <row r="95" ht="15" customHeight="1">
      <c r="A95" s="13" t="inlineStr">
        <is>
          <t>PAB9BE11</t>
        </is>
      </c>
      <c r="B95" s="13">
        <f>VLOOKUP(A95,Table1[[#All],[Participant ID]:[Persona]],7,0)</f>
        <v/>
      </c>
      <c r="C95" s="13" t="inlineStr">
        <is>
          <t>Seshachala_Nayakam_seg0142</t>
        </is>
      </c>
      <c r="D95" s="13" t="inlineStr">
        <is>
          <t>finetuned</t>
        </is>
      </c>
      <c r="E95" s="13" t="inlineStr">
        <is>
          <t>finetuned</t>
        </is>
      </c>
      <c r="F95" s="13" t="inlineStr">
        <is>
          <t>finetuned</t>
        </is>
      </c>
      <c r="G95" s="13" t="inlineStr">
        <is>
          <t>Instrumental - Violin</t>
        </is>
      </c>
    </row>
    <row r="96" ht="15" customHeight="1">
      <c r="A96" s="13" t="inlineStr">
        <is>
          <t>PAB9BE11</t>
        </is>
      </c>
      <c r="B96" s="13">
        <f>VLOOKUP(A96,Table1[[#All],[Participant ID]:[Persona]],7,0)</f>
        <v/>
      </c>
      <c r="C96" s="13" t="inlineStr">
        <is>
          <t>Karpagambike_seg0044</t>
        </is>
      </c>
      <c r="D96" s="13" t="inlineStr">
        <is>
          <t>baseline</t>
        </is>
      </c>
      <c r="E96" s="13" t="inlineStr">
        <is>
          <t>finetuned</t>
        </is>
      </c>
      <c r="F96" s="13" t="inlineStr">
        <is>
          <t>baseline</t>
        </is>
      </c>
      <c r="G96" s="13" t="inlineStr">
        <is>
          <t>Vocal</t>
        </is>
      </c>
    </row>
    <row r="97" ht="15" customHeight="1">
      <c r="A97" s="13" t="inlineStr">
        <is>
          <t>PAB9BE11</t>
        </is>
      </c>
      <c r="B97" s="13">
        <f>VLOOKUP(A97,Table1[[#All],[Participant ID]:[Persona]],7,0)</f>
        <v/>
      </c>
      <c r="C97" s="13" t="inlineStr">
        <is>
          <t>Deva_Deva_Jagadeesha_seg0006</t>
        </is>
      </c>
      <c r="D97" s="13" t="inlineStr">
        <is>
          <t>finetuned</t>
        </is>
      </c>
      <c r="E97" s="13" t="inlineStr">
        <is>
          <t>finetuned</t>
        </is>
      </c>
      <c r="F97" s="13" t="inlineStr">
        <is>
          <t>finetuned</t>
        </is>
      </c>
      <c r="G97" s="13" t="inlineStr">
        <is>
          <t>Instrumental - Violin</t>
        </is>
      </c>
    </row>
    <row r="98" ht="15" customHeight="1">
      <c r="A98" s="13" t="inlineStr">
        <is>
          <t>PA6DF52A</t>
        </is>
      </c>
      <c r="B98" s="13">
        <f>VLOOKUP(A98,Table1[[#All],[Participant ID]:[Persona]],7,0)</f>
        <v/>
      </c>
      <c r="C98" s="13" t="inlineStr">
        <is>
          <t>Raksha_Bettare_seg0201</t>
        </is>
      </c>
      <c r="D98" s="13" t="inlineStr">
        <is>
          <t>baseline</t>
        </is>
      </c>
      <c r="E98" s="13" t="inlineStr">
        <is>
          <t>baseline</t>
        </is>
      </c>
      <c r="F98" s="13" t="inlineStr">
        <is>
          <t>baseline</t>
        </is>
      </c>
      <c r="G98" s="13" t="inlineStr">
        <is>
          <t>Vocal</t>
        </is>
      </c>
    </row>
    <row r="99" ht="15" customHeight="1">
      <c r="A99" s="13" t="inlineStr">
        <is>
          <t>PA6DF52A</t>
        </is>
      </c>
      <c r="B99" s="13">
        <f>VLOOKUP(A99,Table1[[#All],[Participant ID]:[Persona]],7,0)</f>
        <v/>
      </c>
      <c r="C99" s="13" t="inlineStr">
        <is>
          <t>Deva_Deva_Jagadeesha_seg0006</t>
        </is>
      </c>
      <c r="D99" s="13" t="inlineStr">
        <is>
          <t>finetuned</t>
        </is>
      </c>
      <c r="E99" s="13" t="inlineStr">
        <is>
          <t>finetuned</t>
        </is>
      </c>
      <c r="F99" s="13" t="inlineStr">
        <is>
          <t>baseline</t>
        </is>
      </c>
      <c r="G99" s="13" t="inlineStr">
        <is>
          <t>Instrumental - Violin</t>
        </is>
      </c>
    </row>
    <row r="100" ht="15" customHeight="1">
      <c r="A100" s="13" t="inlineStr">
        <is>
          <t>PA6DF52A</t>
        </is>
      </c>
      <c r="B100" s="13">
        <f>VLOOKUP(A100,Table1[[#All],[Participant ID]:[Persona]],7,0)</f>
        <v/>
      </c>
      <c r="C100" s="13" t="inlineStr">
        <is>
          <t>Seshachala_Nayakam_seg0142</t>
        </is>
      </c>
      <c r="D100" s="13" t="inlineStr">
        <is>
          <t>finetuned</t>
        </is>
      </c>
      <c r="E100" s="13" t="inlineStr">
        <is>
          <t>finetuned</t>
        </is>
      </c>
      <c r="F100" s="13" t="inlineStr">
        <is>
          <t>finetuned</t>
        </is>
      </c>
      <c r="G100" s="13" t="inlineStr">
        <is>
          <t>Instrumental - Violin</t>
        </is>
      </c>
    </row>
    <row r="101" ht="15" customHeight="1">
      <c r="A101" s="13" t="inlineStr">
        <is>
          <t>PA6DF52A</t>
        </is>
      </c>
      <c r="B101" s="13">
        <f>VLOOKUP(A101,Table1[[#All],[Participant ID]:[Persona]],7,0)</f>
        <v/>
      </c>
      <c r="C101" s="13" t="inlineStr">
        <is>
          <t>Ramanatham_Bhajeham_seg0029</t>
        </is>
      </c>
      <c r="D101" s="13" t="inlineStr">
        <is>
          <t>baseline</t>
        </is>
      </c>
      <c r="E101" s="13" t="inlineStr">
        <is>
          <t>baseline</t>
        </is>
      </c>
      <c r="F101" s="13" t="inlineStr">
        <is>
          <t>baseline</t>
        </is>
      </c>
      <c r="G101" s="13" t="inlineStr">
        <is>
          <t>Vocal</t>
        </is>
      </c>
    </row>
    <row r="102" ht="15" customHeight="1">
      <c r="A102" s="13" t="inlineStr">
        <is>
          <t>PA6DF52A</t>
        </is>
      </c>
      <c r="B102" s="13">
        <f>VLOOKUP(A102,Table1[[#All],[Participant ID]:[Persona]],7,0)</f>
        <v/>
      </c>
      <c r="C102" s="13" t="inlineStr">
        <is>
          <t>Nannupalimpa_seg0235</t>
        </is>
      </c>
      <c r="D102" s="13" t="inlineStr">
        <is>
          <t>baseline</t>
        </is>
      </c>
      <c r="E102" s="13" t="inlineStr">
        <is>
          <t>baseline</t>
        </is>
      </c>
      <c r="F102" s="13" t="inlineStr">
        <is>
          <t>baseline</t>
        </is>
      </c>
      <c r="G102" s="13" t="inlineStr">
        <is>
          <t>Percussion - Mirudhangam</t>
        </is>
      </c>
    </row>
    <row r="103" ht="15" customHeight="1">
      <c r="A103" s="13" t="inlineStr">
        <is>
          <t>PA6DF52A</t>
        </is>
      </c>
      <c r="B103" s="13">
        <f>VLOOKUP(A103,Table1[[#All],[Participant ID]:[Persona]],7,0)</f>
        <v/>
      </c>
      <c r="C103" s="13" t="inlineStr">
        <is>
          <t>Karpagambike_seg0044</t>
        </is>
      </c>
      <c r="D103" s="13" t="inlineStr">
        <is>
          <t>baseline</t>
        </is>
      </c>
      <c r="E103" s="13" t="inlineStr">
        <is>
          <t>baseline</t>
        </is>
      </c>
      <c r="F103" s="13" t="inlineStr">
        <is>
          <t>baseline</t>
        </is>
      </c>
      <c r="G103" s="13" t="inlineStr">
        <is>
          <t>Vocal</t>
        </is>
      </c>
    </row>
    <row r="104" ht="15" customHeight="1">
      <c r="A104" s="13" t="inlineStr">
        <is>
          <t>PABCC288</t>
        </is>
      </c>
      <c r="B104" s="13">
        <f>VLOOKUP(A104,Table1[[#All],[Participant ID]:[Persona]],7,0)</f>
        <v/>
      </c>
      <c r="C104" s="13" t="inlineStr">
        <is>
          <t>Ramanatham_Bhajeham_seg0029</t>
        </is>
      </c>
      <c r="D104" s="13" t="inlineStr">
        <is>
          <t>finetuned</t>
        </is>
      </c>
      <c r="E104" s="13" t="inlineStr">
        <is>
          <t>finetuned</t>
        </is>
      </c>
      <c r="F104" s="13" t="inlineStr">
        <is>
          <t>finetuned</t>
        </is>
      </c>
      <c r="G104" s="13" t="inlineStr">
        <is>
          <t>Vocal</t>
        </is>
      </c>
    </row>
    <row r="105" ht="15" customHeight="1">
      <c r="A105" s="13" t="inlineStr">
        <is>
          <t>PABCC288</t>
        </is>
      </c>
      <c r="B105" s="13">
        <f>VLOOKUP(A105,Table1[[#All],[Participant ID]:[Persona]],7,0)</f>
        <v/>
      </c>
      <c r="C105" s="13" t="inlineStr">
        <is>
          <t>Seshachala_Nayakam_seg0142</t>
        </is>
      </c>
      <c r="D105" s="13" t="inlineStr">
        <is>
          <t>finetuned</t>
        </is>
      </c>
      <c r="E105" s="13" t="inlineStr">
        <is>
          <t>finetuned</t>
        </is>
      </c>
      <c r="F105" s="13" t="inlineStr">
        <is>
          <t>finetuned</t>
        </is>
      </c>
      <c r="G105" s="13" t="inlineStr">
        <is>
          <t>Instrumental - Violin</t>
        </is>
      </c>
    </row>
    <row r="106" ht="15" customHeight="1">
      <c r="A106" s="13" t="inlineStr">
        <is>
          <t>PABCC288</t>
        </is>
      </c>
      <c r="B106" s="13">
        <f>VLOOKUP(A106,Table1[[#All],[Participant ID]:[Persona]],7,0)</f>
        <v/>
      </c>
      <c r="C106" s="13" t="inlineStr">
        <is>
          <t>Karpagambike_seg0044</t>
        </is>
      </c>
      <c r="D106" s="13" t="inlineStr">
        <is>
          <t>finetuned</t>
        </is>
      </c>
      <c r="E106" s="13" t="inlineStr">
        <is>
          <t>finetuned</t>
        </is>
      </c>
      <c r="F106" s="13" t="inlineStr">
        <is>
          <t>finetuned</t>
        </is>
      </c>
      <c r="G106" s="13" t="inlineStr">
        <is>
          <t>Vocal</t>
        </is>
      </c>
    </row>
    <row r="107" ht="15" customHeight="1">
      <c r="A107" s="13" t="inlineStr">
        <is>
          <t>PABCC288</t>
        </is>
      </c>
      <c r="B107" s="13">
        <f>VLOOKUP(A107,Table1[[#All],[Participant ID]:[Persona]],7,0)</f>
        <v/>
      </c>
      <c r="C107" s="13" t="inlineStr">
        <is>
          <t>Deva_Deva_Jagadeesha_seg0006</t>
        </is>
      </c>
      <c r="D107" s="13" t="inlineStr">
        <is>
          <t>finetuned</t>
        </is>
      </c>
      <c r="E107" s="13" t="inlineStr">
        <is>
          <t>finetuned</t>
        </is>
      </c>
      <c r="F107" s="13" t="inlineStr">
        <is>
          <t>finetuned</t>
        </is>
      </c>
      <c r="G107" s="13" t="inlineStr">
        <is>
          <t>Instrumental - Violin</t>
        </is>
      </c>
    </row>
    <row r="108" ht="15" customHeight="1">
      <c r="A108" s="13" t="inlineStr">
        <is>
          <t>PABCC288</t>
        </is>
      </c>
      <c r="B108" s="13">
        <f>VLOOKUP(A108,Table1[[#All],[Participant ID]:[Persona]],7,0)</f>
        <v/>
      </c>
      <c r="C108" s="13" t="inlineStr">
        <is>
          <t>Raksha_Bettare_seg0201</t>
        </is>
      </c>
      <c r="D108" s="13" t="inlineStr">
        <is>
          <t>finetuned</t>
        </is>
      </c>
      <c r="E108" s="13" t="inlineStr">
        <is>
          <t>finetuned</t>
        </is>
      </c>
      <c r="F108" s="13" t="inlineStr">
        <is>
          <t>finetuned</t>
        </is>
      </c>
      <c r="G108" s="13" t="inlineStr">
        <is>
          <t>Vocal</t>
        </is>
      </c>
    </row>
    <row r="109" ht="15" customHeight="1">
      <c r="A109" s="13" t="inlineStr">
        <is>
          <t>PABCC288</t>
        </is>
      </c>
      <c r="B109" s="13">
        <f>VLOOKUP(A109,Table1[[#All],[Participant ID]:[Persona]],7,0)</f>
        <v/>
      </c>
      <c r="C109" s="13" t="inlineStr">
        <is>
          <t>Nannupalimpa_seg0235</t>
        </is>
      </c>
      <c r="D109" s="13" t="inlineStr">
        <is>
          <t>finetuned</t>
        </is>
      </c>
      <c r="E109" s="13" t="inlineStr">
        <is>
          <t>finetuned</t>
        </is>
      </c>
      <c r="F109" s="13" t="inlineStr">
        <is>
          <t>finetuned</t>
        </is>
      </c>
      <c r="G109" s="13" t="inlineStr">
        <is>
          <t>Percussion - Mirudhangam</t>
        </is>
      </c>
    </row>
    <row r="110" ht="15" customHeight="1">
      <c r="A110" s="13" t="inlineStr">
        <is>
          <t>PA564067</t>
        </is>
      </c>
      <c r="B110" s="13">
        <f>VLOOKUP(A110,Table1[[#All],[Participant ID]:[Persona]],7,0)</f>
        <v/>
      </c>
      <c r="C110" s="13" t="inlineStr">
        <is>
          <t>Ramanatham_Bhajeham_seg0029</t>
        </is>
      </c>
      <c r="D110" s="13" t="inlineStr">
        <is>
          <t>finetuned</t>
        </is>
      </c>
      <c r="E110" s="13" t="inlineStr">
        <is>
          <t>finetuned</t>
        </is>
      </c>
      <c r="F110" s="13" t="inlineStr">
        <is>
          <t>finetuned</t>
        </is>
      </c>
      <c r="G110" s="13" t="inlineStr">
        <is>
          <t>Vocal</t>
        </is>
      </c>
    </row>
    <row r="111" ht="15" customHeight="1">
      <c r="A111" s="13" t="inlineStr">
        <is>
          <t>PA564067</t>
        </is>
      </c>
      <c r="B111" s="13">
        <f>VLOOKUP(A111,Table1[[#All],[Participant ID]:[Persona]],7,0)</f>
        <v/>
      </c>
      <c r="C111" s="13" t="inlineStr">
        <is>
          <t>Deva_Deva_Jagadeesha_seg0006</t>
        </is>
      </c>
      <c r="D111" s="13" t="inlineStr">
        <is>
          <t>baseline</t>
        </is>
      </c>
      <c r="E111" s="13" t="inlineStr">
        <is>
          <t>baseline</t>
        </is>
      </c>
      <c r="F111" s="13" t="inlineStr">
        <is>
          <t>baseline</t>
        </is>
      </c>
      <c r="G111" s="13" t="inlineStr">
        <is>
          <t>Instrumental - Violin</t>
        </is>
      </c>
    </row>
    <row r="112" ht="15" customHeight="1">
      <c r="A112" s="13" t="inlineStr">
        <is>
          <t>PA564067</t>
        </is>
      </c>
      <c r="B112" s="13">
        <f>VLOOKUP(A112,Table1[[#All],[Participant ID]:[Persona]],7,0)</f>
        <v/>
      </c>
      <c r="C112" s="13" t="inlineStr">
        <is>
          <t>Karpagambike_seg0044</t>
        </is>
      </c>
      <c r="D112" s="13" t="inlineStr">
        <is>
          <t>finetuned</t>
        </is>
      </c>
      <c r="E112" s="13" t="inlineStr">
        <is>
          <t>finetuned</t>
        </is>
      </c>
      <c r="F112" s="13" t="inlineStr">
        <is>
          <t>finetuned</t>
        </is>
      </c>
      <c r="G112" s="13" t="inlineStr">
        <is>
          <t>Vocal</t>
        </is>
      </c>
    </row>
    <row r="113" ht="15" customHeight="1">
      <c r="A113" s="13" t="inlineStr">
        <is>
          <t>PA564067</t>
        </is>
      </c>
      <c r="B113" s="13">
        <f>VLOOKUP(A113,Table1[[#All],[Participant ID]:[Persona]],7,0)</f>
        <v/>
      </c>
      <c r="C113" s="13" t="inlineStr">
        <is>
          <t>Nannupalimpa_seg0235</t>
        </is>
      </c>
      <c r="D113" s="13" t="inlineStr">
        <is>
          <t>finetuned</t>
        </is>
      </c>
      <c r="E113" s="13" t="inlineStr">
        <is>
          <t>finetuned</t>
        </is>
      </c>
      <c r="F113" s="13" t="inlineStr">
        <is>
          <t>finetuned</t>
        </is>
      </c>
      <c r="G113" s="13" t="inlineStr">
        <is>
          <t>Percussion - Mirudhangam</t>
        </is>
      </c>
    </row>
    <row r="114" ht="15" customHeight="1">
      <c r="A114" s="13" t="inlineStr">
        <is>
          <t>PA564067</t>
        </is>
      </c>
      <c r="B114" s="13">
        <f>VLOOKUP(A114,Table1[[#All],[Participant ID]:[Persona]],7,0)</f>
        <v/>
      </c>
      <c r="C114" s="13" t="inlineStr">
        <is>
          <t>Seshachala_Nayakam_seg0142</t>
        </is>
      </c>
      <c r="D114" s="13" t="inlineStr">
        <is>
          <t>baseline</t>
        </is>
      </c>
      <c r="E114" s="13" t="inlineStr">
        <is>
          <t>baseline</t>
        </is>
      </c>
      <c r="F114" s="13" t="inlineStr">
        <is>
          <t>finetuned</t>
        </is>
      </c>
      <c r="G114" s="13" t="inlineStr">
        <is>
          <t>Instrumental - Violin</t>
        </is>
      </c>
    </row>
    <row r="115" ht="15" customHeight="1">
      <c r="A115" s="13" t="inlineStr">
        <is>
          <t>PA564067</t>
        </is>
      </c>
      <c r="B115" s="13">
        <f>VLOOKUP(A115,Table1[[#All],[Participant ID]:[Persona]],7,0)</f>
        <v/>
      </c>
      <c r="C115" s="13" t="inlineStr">
        <is>
          <t>Raksha_Bettare_seg0201</t>
        </is>
      </c>
      <c r="D115" s="13" t="inlineStr">
        <is>
          <t>finetuned</t>
        </is>
      </c>
      <c r="E115" s="13" t="inlineStr">
        <is>
          <t>finetuned</t>
        </is>
      </c>
      <c r="F115" s="13" t="inlineStr">
        <is>
          <t>finetuned</t>
        </is>
      </c>
      <c r="G115" s="13" t="inlineStr">
        <is>
          <t>Vocal</t>
        </is>
      </c>
    </row>
    <row r="116" ht="15" customHeight="1">
      <c r="A116" s="13" t="inlineStr">
        <is>
          <t>PA6013AB</t>
        </is>
      </c>
      <c r="B116" s="13">
        <f>VLOOKUP(A116,Table1[[#All],[Participant ID]:[Persona]],7,0)</f>
        <v/>
      </c>
      <c r="C116" s="13" t="inlineStr">
        <is>
          <t>Seshachala_Nayakam_seg0142</t>
        </is>
      </c>
      <c r="D116" s="13" t="inlineStr">
        <is>
          <t>baseline</t>
        </is>
      </c>
      <c r="E116" s="13" t="inlineStr">
        <is>
          <t>finetuned</t>
        </is>
      </c>
      <c r="F116" s="13" t="inlineStr">
        <is>
          <t>baseline</t>
        </is>
      </c>
      <c r="G116" s="13" t="inlineStr">
        <is>
          <t>Instrumental - Violin</t>
        </is>
      </c>
    </row>
    <row r="117" ht="15" customHeight="1">
      <c r="A117" s="13" t="inlineStr">
        <is>
          <t>PA6013AB</t>
        </is>
      </c>
      <c r="B117" s="13">
        <f>VLOOKUP(A117,Table1[[#All],[Participant ID]:[Persona]],7,0)</f>
        <v/>
      </c>
      <c r="C117" s="13" t="inlineStr">
        <is>
          <t>Karpagambike_seg0044</t>
        </is>
      </c>
      <c r="D117" s="13" t="inlineStr">
        <is>
          <t>finetuned</t>
        </is>
      </c>
      <c r="E117" s="13" t="inlineStr">
        <is>
          <t>finetuned</t>
        </is>
      </c>
      <c r="F117" s="13" t="inlineStr">
        <is>
          <t>finetuned</t>
        </is>
      </c>
      <c r="G117" s="13" t="inlineStr">
        <is>
          <t>Vocal</t>
        </is>
      </c>
    </row>
    <row r="118" ht="15" customHeight="1">
      <c r="A118" s="13" t="inlineStr">
        <is>
          <t>PA6013AB</t>
        </is>
      </c>
      <c r="B118" s="13">
        <f>VLOOKUP(A118,Table1[[#All],[Participant ID]:[Persona]],7,0)</f>
        <v/>
      </c>
      <c r="C118" s="13" t="inlineStr">
        <is>
          <t>Raksha_Bettare_seg0201</t>
        </is>
      </c>
      <c r="D118" s="13" t="inlineStr">
        <is>
          <t>finetuned</t>
        </is>
      </c>
      <c r="E118" s="13" t="inlineStr">
        <is>
          <t>baseline</t>
        </is>
      </c>
      <c r="F118" s="13" t="inlineStr">
        <is>
          <t>baseline</t>
        </is>
      </c>
      <c r="G118" s="13" t="inlineStr">
        <is>
          <t>Vocal</t>
        </is>
      </c>
    </row>
    <row r="119" ht="15" customHeight="1">
      <c r="A119" s="13" t="inlineStr">
        <is>
          <t>PA6013AB</t>
        </is>
      </c>
      <c r="B119" s="13">
        <f>VLOOKUP(A119,Table1[[#All],[Participant ID]:[Persona]],7,0)</f>
        <v/>
      </c>
      <c r="C119" s="13" t="inlineStr">
        <is>
          <t>Nannupalimpa_seg0235</t>
        </is>
      </c>
      <c r="D119" s="13" t="inlineStr">
        <is>
          <t>baseline</t>
        </is>
      </c>
      <c r="E119" s="13" t="inlineStr">
        <is>
          <t>baseline</t>
        </is>
      </c>
      <c r="F119" s="13" t="inlineStr">
        <is>
          <t>baseline</t>
        </is>
      </c>
      <c r="G119" s="13" t="inlineStr">
        <is>
          <t>Percussion - Mirudhangam</t>
        </is>
      </c>
    </row>
    <row r="120" ht="15" customHeight="1">
      <c r="A120" s="13" t="inlineStr">
        <is>
          <t>PA6013AB</t>
        </is>
      </c>
      <c r="B120" s="13">
        <f>VLOOKUP(A120,Table1[[#All],[Participant ID]:[Persona]],7,0)</f>
        <v/>
      </c>
      <c r="C120" s="13" t="inlineStr">
        <is>
          <t>Ramanatham_Bhajeham_seg0029</t>
        </is>
      </c>
      <c r="D120" s="13" t="inlineStr">
        <is>
          <t>baseline</t>
        </is>
      </c>
      <c r="E120" s="13" t="inlineStr">
        <is>
          <t>baseline</t>
        </is>
      </c>
      <c r="F120" s="13" t="inlineStr">
        <is>
          <t>baseline</t>
        </is>
      </c>
      <c r="G120" s="13" t="inlineStr">
        <is>
          <t>Vocal</t>
        </is>
      </c>
    </row>
    <row r="121" ht="15" customHeight="1">
      <c r="A121" s="13" t="inlineStr">
        <is>
          <t>PA6013AB</t>
        </is>
      </c>
      <c r="B121" s="13">
        <f>VLOOKUP(A121,Table1[[#All],[Participant ID]:[Persona]],7,0)</f>
        <v/>
      </c>
      <c r="C121" s="13" t="inlineStr">
        <is>
          <t>Deva_Deva_Jagadeesha_seg0006</t>
        </is>
      </c>
      <c r="D121" s="13" t="inlineStr">
        <is>
          <t>finetuned</t>
        </is>
      </c>
      <c r="E121" s="13" t="inlineStr">
        <is>
          <t>finetuned</t>
        </is>
      </c>
      <c r="F121" s="13" t="inlineStr">
        <is>
          <t>finetuned</t>
        </is>
      </c>
      <c r="G121" s="13" t="inlineStr">
        <is>
          <t>Instrumental - Violin</t>
        </is>
      </c>
    </row>
    <row r="122" ht="15" customHeight="1">
      <c r="A122" s="13" t="inlineStr">
        <is>
          <t>PAA717AA</t>
        </is>
      </c>
      <c r="B122" s="13">
        <f>VLOOKUP(A122,Table1[[#All],[Participant ID]:[Persona]],7,0)</f>
        <v/>
      </c>
      <c r="C122" s="13" t="inlineStr">
        <is>
          <t>Ramanatham_Bhajeham_seg0029</t>
        </is>
      </c>
      <c r="D122" s="13" t="inlineStr">
        <is>
          <t>baseline</t>
        </is>
      </c>
      <c r="E122" s="13" t="inlineStr">
        <is>
          <t>baseline</t>
        </is>
      </c>
      <c r="F122" s="13" t="inlineStr">
        <is>
          <t>baseline</t>
        </is>
      </c>
      <c r="G122" s="13" t="inlineStr">
        <is>
          <t>Vocal</t>
        </is>
      </c>
    </row>
    <row r="123" ht="15" customHeight="1">
      <c r="A123" s="13" t="inlineStr">
        <is>
          <t>PAA717AA</t>
        </is>
      </c>
      <c r="B123" s="13">
        <f>VLOOKUP(A123,Table1[[#All],[Participant ID]:[Persona]],7,0)</f>
        <v/>
      </c>
      <c r="C123" s="13" t="inlineStr">
        <is>
          <t>Raksha_Bettare_seg0201</t>
        </is>
      </c>
      <c r="D123" s="13" t="inlineStr">
        <is>
          <t>finetuned</t>
        </is>
      </c>
      <c r="E123" s="13" t="inlineStr">
        <is>
          <t>finetuned</t>
        </is>
      </c>
      <c r="F123" s="13" t="inlineStr">
        <is>
          <t>finetuned</t>
        </is>
      </c>
      <c r="G123" s="13" t="inlineStr">
        <is>
          <t>Vocal</t>
        </is>
      </c>
    </row>
    <row r="124" ht="15" customHeight="1">
      <c r="A124" s="13" t="inlineStr">
        <is>
          <t>PAA717AA</t>
        </is>
      </c>
      <c r="B124" s="13">
        <f>VLOOKUP(A124,Table1[[#All],[Participant ID]:[Persona]],7,0)</f>
        <v/>
      </c>
      <c r="C124" s="13" t="inlineStr">
        <is>
          <t>Nannupalimpa_seg0235</t>
        </is>
      </c>
      <c r="D124" s="13" t="inlineStr">
        <is>
          <t>finetuned</t>
        </is>
      </c>
      <c r="E124" s="13" t="inlineStr">
        <is>
          <t>finetuned</t>
        </is>
      </c>
      <c r="F124" s="13" t="inlineStr">
        <is>
          <t>finetuned</t>
        </is>
      </c>
      <c r="G124" s="13" t="inlineStr">
        <is>
          <t>Percussion - Mirudhangam</t>
        </is>
      </c>
    </row>
    <row r="125" ht="15" customHeight="1">
      <c r="A125" s="13" t="inlineStr">
        <is>
          <t>PAA717AA</t>
        </is>
      </c>
      <c r="B125" s="13">
        <f>VLOOKUP(A125,Table1[[#All],[Participant ID]:[Persona]],7,0)</f>
        <v/>
      </c>
      <c r="C125" s="13" t="inlineStr">
        <is>
          <t>Deva_Deva_Jagadeesha_seg0006</t>
        </is>
      </c>
      <c r="D125" s="13" t="inlineStr">
        <is>
          <t>finetuned</t>
        </is>
      </c>
      <c r="E125" s="13" t="inlineStr">
        <is>
          <t>finetuned</t>
        </is>
      </c>
      <c r="F125" s="13" t="inlineStr">
        <is>
          <t>finetuned</t>
        </is>
      </c>
      <c r="G125" s="13" t="inlineStr">
        <is>
          <t>Instrumental - Violin</t>
        </is>
      </c>
    </row>
    <row r="126" ht="15" customHeight="1">
      <c r="A126" s="13" t="inlineStr">
        <is>
          <t>PAA717AA</t>
        </is>
      </c>
      <c r="B126" s="13">
        <f>VLOOKUP(A126,Table1[[#All],[Participant ID]:[Persona]],7,0)</f>
        <v/>
      </c>
      <c r="C126" s="13" t="inlineStr">
        <is>
          <t>Seshachala_Nayakam_seg0142</t>
        </is>
      </c>
      <c r="D126" s="13" t="inlineStr">
        <is>
          <t>finetuned</t>
        </is>
      </c>
      <c r="E126" s="13" t="inlineStr">
        <is>
          <t>finetuned</t>
        </is>
      </c>
      <c r="F126" s="13" t="inlineStr">
        <is>
          <t>finetuned</t>
        </is>
      </c>
      <c r="G126" s="13" t="inlineStr">
        <is>
          <t>Instrumental - Violin</t>
        </is>
      </c>
    </row>
    <row r="127" ht="15" customHeight="1">
      <c r="A127" s="13" t="inlineStr">
        <is>
          <t>PAA717AA</t>
        </is>
      </c>
      <c r="B127" s="13">
        <f>VLOOKUP(A127,Table1[[#All],[Participant ID]:[Persona]],7,0)</f>
        <v/>
      </c>
      <c r="C127" s="13" t="inlineStr">
        <is>
          <t>Karpagambike_seg0044</t>
        </is>
      </c>
      <c r="D127" s="13" t="inlineStr">
        <is>
          <t>finetuned</t>
        </is>
      </c>
      <c r="E127" s="13" t="inlineStr">
        <is>
          <t>finetuned</t>
        </is>
      </c>
      <c r="F127" s="13" t="inlineStr">
        <is>
          <t>finetuned</t>
        </is>
      </c>
      <c r="G127" s="13" t="inlineStr">
        <is>
          <t>Vocal</t>
        </is>
      </c>
    </row>
    <row r="128" ht="15" customHeight="1">
      <c r="A128" s="13" t="inlineStr">
        <is>
          <t>PA39F3AA</t>
        </is>
      </c>
      <c r="B128" s="13">
        <f>VLOOKUP(A128,Table1[[#All],[Participant ID]:[Persona]],7,0)</f>
        <v/>
      </c>
      <c r="C128" s="13" t="inlineStr">
        <is>
          <t>Nannupalimpa_seg0235</t>
        </is>
      </c>
      <c r="D128" s="13" t="inlineStr">
        <is>
          <t>baseline</t>
        </is>
      </c>
      <c r="E128" s="13" t="inlineStr">
        <is>
          <t>finetuned</t>
        </is>
      </c>
      <c r="F128" s="13" t="inlineStr">
        <is>
          <t>baseline</t>
        </is>
      </c>
      <c r="G128" s="13" t="inlineStr">
        <is>
          <t>Percussion - Mirudhangam</t>
        </is>
      </c>
    </row>
    <row r="129" ht="15" customHeight="1">
      <c r="A129" s="13" t="inlineStr">
        <is>
          <t>PA39F3AA</t>
        </is>
      </c>
      <c r="B129" s="13">
        <f>VLOOKUP(A129,Table1[[#All],[Participant ID]:[Persona]],7,0)</f>
        <v/>
      </c>
      <c r="C129" s="13" t="inlineStr">
        <is>
          <t>Deva_Deva_Jagadeesha_seg0006</t>
        </is>
      </c>
      <c r="D129" s="13" t="inlineStr">
        <is>
          <t>finetuned</t>
        </is>
      </c>
      <c r="E129" s="13" t="inlineStr">
        <is>
          <t>finetuned</t>
        </is>
      </c>
      <c r="F129" s="13" t="inlineStr">
        <is>
          <t>baseline</t>
        </is>
      </c>
      <c r="G129" s="13" t="inlineStr">
        <is>
          <t>Instrumental - Violin</t>
        </is>
      </c>
    </row>
    <row r="130" ht="15" customHeight="1">
      <c r="A130" s="13" t="inlineStr">
        <is>
          <t>PA39F3AA</t>
        </is>
      </c>
      <c r="B130" s="13">
        <f>VLOOKUP(A130,Table1[[#All],[Participant ID]:[Persona]],7,0)</f>
        <v/>
      </c>
      <c r="C130" s="13" t="inlineStr">
        <is>
          <t>Karpagambike_seg0044</t>
        </is>
      </c>
      <c r="D130" s="13" t="inlineStr">
        <is>
          <t>baseline</t>
        </is>
      </c>
      <c r="E130" s="13" t="inlineStr">
        <is>
          <t>baseline</t>
        </is>
      </c>
      <c r="F130" s="13" t="inlineStr">
        <is>
          <t>baseline</t>
        </is>
      </c>
      <c r="G130" s="13" t="inlineStr">
        <is>
          <t>Vocal</t>
        </is>
      </c>
    </row>
    <row r="131" ht="15" customHeight="1">
      <c r="A131" s="13" t="inlineStr">
        <is>
          <t>PA39F3AA</t>
        </is>
      </c>
      <c r="B131" s="13">
        <f>VLOOKUP(A131,Table1[[#All],[Participant ID]:[Persona]],7,0)</f>
        <v/>
      </c>
      <c r="C131" s="13" t="inlineStr">
        <is>
          <t>Ramanatham_Bhajeham_seg0029</t>
        </is>
      </c>
      <c r="D131" s="13" t="inlineStr">
        <is>
          <t>finetuned</t>
        </is>
      </c>
      <c r="E131" s="13" t="inlineStr">
        <is>
          <t>baseline</t>
        </is>
      </c>
      <c r="F131" s="13" t="inlineStr">
        <is>
          <t>baseline</t>
        </is>
      </c>
      <c r="G131" s="13" t="inlineStr">
        <is>
          <t>Vocal</t>
        </is>
      </c>
    </row>
    <row r="132" ht="15" customHeight="1">
      <c r="A132" s="13" t="inlineStr">
        <is>
          <t>PA39F3AA</t>
        </is>
      </c>
      <c r="B132" s="13">
        <f>VLOOKUP(A132,Table1[[#All],[Participant ID]:[Persona]],7,0)</f>
        <v/>
      </c>
      <c r="C132" s="13" t="inlineStr">
        <is>
          <t>Seshachala_Nayakam_seg0142</t>
        </is>
      </c>
      <c r="D132" s="13" t="inlineStr">
        <is>
          <t>finetuned</t>
        </is>
      </c>
      <c r="E132" s="13" t="inlineStr">
        <is>
          <t>baseline</t>
        </is>
      </c>
      <c r="F132" s="13" t="inlineStr">
        <is>
          <t>finetuned</t>
        </is>
      </c>
      <c r="G132" s="13" t="inlineStr">
        <is>
          <t>Instrumental - Violin</t>
        </is>
      </c>
    </row>
    <row r="133" ht="15" customHeight="1">
      <c r="A133" s="13" t="inlineStr">
        <is>
          <t>PA39F3AA</t>
        </is>
      </c>
      <c r="B133" s="13">
        <f>VLOOKUP(A133,Table1[[#All],[Participant ID]:[Persona]],7,0)</f>
        <v/>
      </c>
      <c r="C133" s="13" t="inlineStr">
        <is>
          <t>Raksha_Bettare_seg0201</t>
        </is>
      </c>
      <c r="D133" s="13" t="inlineStr">
        <is>
          <t>baseline</t>
        </is>
      </c>
      <c r="E133" s="13" t="inlineStr">
        <is>
          <t>baseline</t>
        </is>
      </c>
      <c r="F133" s="13" t="inlineStr">
        <is>
          <t>finetuned</t>
        </is>
      </c>
      <c r="G133" s="13" t="inlineStr">
        <is>
          <t>Vocal</t>
        </is>
      </c>
    </row>
    <row r="134" ht="15" customHeight="1">
      <c r="A134" s="13" t="inlineStr">
        <is>
          <t>PA9400CD</t>
        </is>
      </c>
      <c r="B134" s="13">
        <f>VLOOKUP(A134,Table1[[#All],[Participant ID]:[Persona]],7,0)</f>
        <v/>
      </c>
      <c r="C134" s="13" t="inlineStr">
        <is>
          <t>Seshachala_Nayakam_seg0142</t>
        </is>
      </c>
      <c r="D134" s="13" t="inlineStr">
        <is>
          <t>finetuned</t>
        </is>
      </c>
      <c r="E134" s="13" t="inlineStr">
        <is>
          <t>finetuned</t>
        </is>
      </c>
      <c r="F134" s="13" t="inlineStr">
        <is>
          <t>finetuned</t>
        </is>
      </c>
      <c r="G134" s="13" t="inlineStr">
        <is>
          <t>Instrumental - Violin</t>
        </is>
      </c>
    </row>
    <row r="135" ht="15" customHeight="1">
      <c r="A135" s="13" t="inlineStr">
        <is>
          <t>PA9400CD</t>
        </is>
      </c>
      <c r="B135" s="13">
        <f>VLOOKUP(A135,Table1[[#All],[Participant ID]:[Persona]],7,0)</f>
        <v/>
      </c>
      <c r="C135" s="13" t="inlineStr">
        <is>
          <t>Nannupalimpa_seg0235</t>
        </is>
      </c>
      <c r="D135" s="13" t="inlineStr">
        <is>
          <t>finetuned</t>
        </is>
      </c>
      <c r="E135" s="13" t="inlineStr">
        <is>
          <t>finetuned</t>
        </is>
      </c>
      <c r="F135" s="13" t="inlineStr">
        <is>
          <t>finetuned</t>
        </is>
      </c>
      <c r="G135" s="13" t="inlineStr">
        <is>
          <t>Percussion - Mirudhangam</t>
        </is>
      </c>
    </row>
    <row r="136" ht="15" customHeight="1">
      <c r="A136" s="13" t="inlineStr">
        <is>
          <t>PA9400CD</t>
        </is>
      </c>
      <c r="B136" s="13">
        <f>VLOOKUP(A136,Table1[[#All],[Participant ID]:[Persona]],7,0)</f>
        <v/>
      </c>
      <c r="C136" s="13" t="inlineStr">
        <is>
          <t>Karpagambike_seg0044</t>
        </is>
      </c>
      <c r="D136" s="13" t="inlineStr">
        <is>
          <t>baseline</t>
        </is>
      </c>
      <c r="E136" s="13" t="inlineStr">
        <is>
          <t>baseline</t>
        </is>
      </c>
      <c r="F136" s="13" t="inlineStr">
        <is>
          <t>baseline</t>
        </is>
      </c>
      <c r="G136" s="13" t="inlineStr">
        <is>
          <t>Vocal</t>
        </is>
      </c>
    </row>
    <row r="137" ht="15" customHeight="1">
      <c r="A137" s="13" t="inlineStr">
        <is>
          <t>PA9400CD</t>
        </is>
      </c>
      <c r="B137" s="13">
        <f>VLOOKUP(A137,Table1[[#All],[Participant ID]:[Persona]],7,0)</f>
        <v/>
      </c>
      <c r="C137" s="13" t="inlineStr">
        <is>
          <t>Ramanatham_Bhajeham_seg0029</t>
        </is>
      </c>
      <c r="D137" s="13" t="inlineStr">
        <is>
          <t>finetuned</t>
        </is>
      </c>
      <c r="E137" s="13" t="inlineStr">
        <is>
          <t>finetuned</t>
        </is>
      </c>
      <c r="F137" s="13" t="inlineStr">
        <is>
          <t>finetuned</t>
        </is>
      </c>
      <c r="G137" s="13" t="inlineStr">
        <is>
          <t>Vocal</t>
        </is>
      </c>
    </row>
    <row r="138" ht="15" customHeight="1">
      <c r="A138" s="13" t="inlineStr">
        <is>
          <t>PA9400CD</t>
        </is>
      </c>
      <c r="B138" s="13">
        <f>VLOOKUP(A138,Table1[[#All],[Participant ID]:[Persona]],7,0)</f>
        <v/>
      </c>
      <c r="C138" s="13" t="inlineStr">
        <is>
          <t>Raksha_Bettare_seg0201</t>
        </is>
      </c>
      <c r="D138" s="13" t="inlineStr">
        <is>
          <t>baseline</t>
        </is>
      </c>
      <c r="E138" s="13" t="inlineStr">
        <is>
          <t>baseline</t>
        </is>
      </c>
      <c r="F138" s="13" t="inlineStr">
        <is>
          <t>baseline</t>
        </is>
      </c>
      <c r="G138" s="13" t="inlineStr">
        <is>
          <t>Vocal</t>
        </is>
      </c>
    </row>
    <row r="139" ht="15" customHeight="1">
      <c r="A139" s="13" t="inlineStr">
        <is>
          <t>PA9400CD</t>
        </is>
      </c>
      <c r="B139" s="13">
        <f>VLOOKUP(A139,Table1[[#All],[Participant ID]:[Persona]],7,0)</f>
        <v/>
      </c>
      <c r="C139" s="13" t="inlineStr">
        <is>
          <t>Deva_Deva_Jagadeesha_seg0006</t>
        </is>
      </c>
      <c r="D139" s="13" t="inlineStr">
        <is>
          <t>finetuned</t>
        </is>
      </c>
      <c r="E139" s="13" t="inlineStr">
        <is>
          <t>finetuned</t>
        </is>
      </c>
      <c r="F139" s="13" t="inlineStr">
        <is>
          <t>finetuned</t>
        </is>
      </c>
      <c r="G139" s="13" t="inlineStr">
        <is>
          <t>Instrumental - Violin</t>
        </is>
      </c>
    </row>
    <row r="140" ht="15" customHeight="1">
      <c r="A140" s="13" t="inlineStr">
        <is>
          <t>PABE392B</t>
        </is>
      </c>
      <c r="B140" s="13">
        <f>VLOOKUP(A140,Table1[[#All],[Participant ID]:[Persona]],7,0)</f>
        <v/>
      </c>
      <c r="C140" s="13" t="inlineStr">
        <is>
          <t>Ramanatham_Bhajeham_seg0029</t>
        </is>
      </c>
      <c r="D140" s="13" t="inlineStr">
        <is>
          <t>finetuned</t>
        </is>
      </c>
      <c r="E140" s="13" t="inlineStr">
        <is>
          <t>finetuned</t>
        </is>
      </c>
      <c r="F140" s="13" t="inlineStr">
        <is>
          <t>baseline</t>
        </is>
      </c>
      <c r="G140" s="13" t="inlineStr">
        <is>
          <t>Vocal</t>
        </is>
      </c>
    </row>
    <row r="141" ht="15" customHeight="1">
      <c r="A141" s="13" t="inlineStr">
        <is>
          <t>PABE392B</t>
        </is>
      </c>
      <c r="B141" s="13">
        <f>VLOOKUP(A141,Table1[[#All],[Participant ID]:[Persona]],7,0)</f>
        <v/>
      </c>
      <c r="C141" s="13" t="inlineStr">
        <is>
          <t>Nannupalimpa_seg0235</t>
        </is>
      </c>
      <c r="D141" s="13" t="inlineStr">
        <is>
          <t>finetuned</t>
        </is>
      </c>
      <c r="E141" s="13" t="inlineStr">
        <is>
          <t>finetuned</t>
        </is>
      </c>
      <c r="F141" s="13" t="inlineStr">
        <is>
          <t>finetuned</t>
        </is>
      </c>
      <c r="G141" s="13" t="inlineStr">
        <is>
          <t>Percussion - Mirudhangam</t>
        </is>
      </c>
    </row>
    <row r="142" ht="15" customHeight="1">
      <c r="A142" s="13" t="inlineStr">
        <is>
          <t>PABE392B</t>
        </is>
      </c>
      <c r="B142" s="13">
        <f>VLOOKUP(A142,Table1[[#All],[Participant ID]:[Persona]],7,0)</f>
        <v/>
      </c>
      <c r="C142" s="13" t="inlineStr">
        <is>
          <t>Raksha_Bettare_seg0201</t>
        </is>
      </c>
      <c r="D142" s="13" t="inlineStr">
        <is>
          <t>finetuned</t>
        </is>
      </c>
      <c r="E142" s="13" t="inlineStr">
        <is>
          <t>finetuned</t>
        </is>
      </c>
      <c r="F142" s="13" t="inlineStr">
        <is>
          <t>finetuned</t>
        </is>
      </c>
      <c r="G142" s="13" t="inlineStr">
        <is>
          <t>Vocal</t>
        </is>
      </c>
    </row>
    <row r="143" ht="15" customHeight="1">
      <c r="A143" s="13" t="inlineStr">
        <is>
          <t>PABE392B</t>
        </is>
      </c>
      <c r="B143" s="13">
        <f>VLOOKUP(A143,Table1[[#All],[Participant ID]:[Persona]],7,0)</f>
        <v/>
      </c>
      <c r="C143" s="13" t="inlineStr">
        <is>
          <t>Seshachala_Nayakam_seg0142</t>
        </is>
      </c>
      <c r="D143" s="13" t="inlineStr">
        <is>
          <t>finetuned</t>
        </is>
      </c>
      <c r="E143" s="13" t="inlineStr">
        <is>
          <t>finetuned</t>
        </is>
      </c>
      <c r="F143" s="13" t="inlineStr">
        <is>
          <t>finetuned</t>
        </is>
      </c>
      <c r="G143" s="13" t="inlineStr">
        <is>
          <t>Instrumental - Violin</t>
        </is>
      </c>
    </row>
    <row r="144" ht="15" customHeight="1">
      <c r="A144" s="13" t="inlineStr">
        <is>
          <t>PABE392B</t>
        </is>
      </c>
      <c r="B144" s="13">
        <f>VLOOKUP(A144,Table1[[#All],[Participant ID]:[Persona]],7,0)</f>
        <v/>
      </c>
      <c r="C144" s="13" t="inlineStr">
        <is>
          <t>Deva_Deva_Jagadeesha_seg0006</t>
        </is>
      </c>
      <c r="D144" s="13" t="inlineStr">
        <is>
          <t>finetuned</t>
        </is>
      </c>
      <c r="E144" s="13" t="inlineStr">
        <is>
          <t>finetuned</t>
        </is>
      </c>
      <c r="F144" s="13" t="inlineStr">
        <is>
          <t>finetuned</t>
        </is>
      </c>
      <c r="G144" s="13" t="inlineStr">
        <is>
          <t>Instrumental - Violin</t>
        </is>
      </c>
    </row>
    <row r="145" ht="15" customHeight="1">
      <c r="A145" s="13" t="inlineStr">
        <is>
          <t>PABE392B</t>
        </is>
      </c>
      <c r="B145" s="13">
        <f>VLOOKUP(A145,Table1[[#All],[Participant ID]:[Persona]],7,0)</f>
        <v/>
      </c>
      <c r="C145" s="13" t="inlineStr">
        <is>
          <t>Karpagambike_seg0044</t>
        </is>
      </c>
      <c r="D145" s="13" t="inlineStr">
        <is>
          <t>baseline</t>
        </is>
      </c>
      <c r="E145" s="13" t="inlineStr">
        <is>
          <t>finetuned</t>
        </is>
      </c>
      <c r="F145" s="13" t="inlineStr">
        <is>
          <t>finetuned</t>
        </is>
      </c>
      <c r="G145" s="13" t="inlineStr">
        <is>
          <t>Vocal</t>
        </is>
      </c>
    </row>
    <row r="146" ht="15" customHeight="1">
      <c r="A146" s="13" t="inlineStr">
        <is>
          <t>PAD23D72</t>
        </is>
      </c>
      <c r="B146" s="13">
        <f>VLOOKUP(A146,Table1[[#All],[Participant ID]:[Persona]],7,0)</f>
        <v/>
      </c>
      <c r="C146" s="13" t="inlineStr">
        <is>
          <t>Deva_Deva_Jagadeesha_seg0006</t>
        </is>
      </c>
      <c r="D146" s="13" t="inlineStr">
        <is>
          <t>baseline</t>
        </is>
      </c>
      <c r="E146" s="13" t="inlineStr">
        <is>
          <t>baseline</t>
        </is>
      </c>
      <c r="F146" s="13" t="inlineStr">
        <is>
          <t>baseline</t>
        </is>
      </c>
      <c r="G146" s="13" t="inlineStr">
        <is>
          <t>Instrumental - Violin</t>
        </is>
      </c>
    </row>
    <row r="147" ht="15" customHeight="1">
      <c r="A147" s="13" t="inlineStr">
        <is>
          <t>PAD23D72</t>
        </is>
      </c>
      <c r="B147" s="13">
        <f>VLOOKUP(A147,Table1[[#All],[Participant ID]:[Persona]],7,0)</f>
        <v/>
      </c>
      <c r="C147" s="13" t="inlineStr">
        <is>
          <t>Seshachala_Nayakam_seg0142</t>
        </is>
      </c>
      <c r="D147" s="13" t="inlineStr">
        <is>
          <t>finetuned</t>
        </is>
      </c>
      <c r="E147" s="13" t="inlineStr">
        <is>
          <t>finetuned</t>
        </is>
      </c>
      <c r="F147" s="13" t="inlineStr">
        <is>
          <t>finetuned</t>
        </is>
      </c>
      <c r="G147" s="13" t="inlineStr">
        <is>
          <t>Instrumental - Violin</t>
        </is>
      </c>
    </row>
    <row r="148" ht="15" customHeight="1">
      <c r="A148" s="13" t="inlineStr">
        <is>
          <t>PAD23D72</t>
        </is>
      </c>
      <c r="B148" s="13">
        <f>VLOOKUP(A148,Table1[[#All],[Participant ID]:[Persona]],7,0)</f>
        <v/>
      </c>
      <c r="C148" s="13" t="inlineStr">
        <is>
          <t>Ramanatham_Bhajeham_seg0029</t>
        </is>
      </c>
      <c r="D148" s="13" t="inlineStr">
        <is>
          <t>baseline</t>
        </is>
      </c>
      <c r="E148" s="13" t="inlineStr">
        <is>
          <t>baseline</t>
        </is>
      </c>
      <c r="F148" s="13" t="inlineStr">
        <is>
          <t>baseline</t>
        </is>
      </c>
      <c r="G148" s="13" t="inlineStr">
        <is>
          <t>Vocal</t>
        </is>
      </c>
    </row>
    <row r="149" ht="15" customHeight="1">
      <c r="A149" s="13" t="inlineStr">
        <is>
          <t>PAD23D72</t>
        </is>
      </c>
      <c r="B149" s="13">
        <f>VLOOKUP(A149,Table1[[#All],[Participant ID]:[Persona]],7,0)</f>
        <v/>
      </c>
      <c r="C149" s="13" t="inlineStr">
        <is>
          <t>Karpagambike_seg0044</t>
        </is>
      </c>
      <c r="D149" s="13" t="inlineStr">
        <is>
          <t>finetuned</t>
        </is>
      </c>
      <c r="E149" s="13" t="inlineStr">
        <is>
          <t>baseline</t>
        </is>
      </c>
      <c r="F149" s="13" t="inlineStr">
        <is>
          <t>finetuned</t>
        </is>
      </c>
      <c r="G149" s="13" t="inlineStr">
        <is>
          <t>Vocal</t>
        </is>
      </c>
    </row>
    <row r="150" ht="15" customHeight="1">
      <c r="A150" s="13" t="inlineStr">
        <is>
          <t>PAD23D72</t>
        </is>
      </c>
      <c r="B150" s="13">
        <f>VLOOKUP(A150,Table1[[#All],[Participant ID]:[Persona]],7,0)</f>
        <v/>
      </c>
      <c r="C150" s="13" t="inlineStr">
        <is>
          <t>Raksha_Bettare_seg0201</t>
        </is>
      </c>
      <c r="D150" s="13" t="inlineStr">
        <is>
          <t>finetuned</t>
        </is>
      </c>
      <c r="E150" s="13" t="inlineStr">
        <is>
          <t>finetuned</t>
        </is>
      </c>
      <c r="F150" s="13" t="inlineStr">
        <is>
          <t>baseline</t>
        </is>
      </c>
      <c r="G150" s="13" t="inlineStr">
        <is>
          <t>Vocal</t>
        </is>
      </c>
    </row>
    <row r="151" ht="15" customHeight="1">
      <c r="A151" s="13" t="inlineStr">
        <is>
          <t>PAD23D72</t>
        </is>
      </c>
      <c r="B151" s="13">
        <f>VLOOKUP(A151,Table1[[#All],[Participant ID]:[Persona]],7,0)</f>
        <v/>
      </c>
      <c r="C151" s="13" t="inlineStr">
        <is>
          <t>Nannupalimpa_seg0235</t>
        </is>
      </c>
      <c r="D151" s="13" t="inlineStr">
        <is>
          <t>baseline</t>
        </is>
      </c>
      <c r="E151" s="13" t="inlineStr">
        <is>
          <t>baseline</t>
        </is>
      </c>
      <c r="F151" s="13" t="inlineStr">
        <is>
          <t>baseline</t>
        </is>
      </c>
      <c r="G151" s="13" t="inlineStr">
        <is>
          <t>Percussion - Mirudhangam</t>
        </is>
      </c>
    </row>
    <row r="152" ht="15" customHeight="1">
      <c r="A152" s="13" t="inlineStr">
        <is>
          <t>PA44D477</t>
        </is>
      </c>
      <c r="B152" s="13">
        <f>VLOOKUP(A152,Table1[[#All],[Participant ID]:[Persona]],7,0)</f>
        <v/>
      </c>
      <c r="C152" s="13" t="inlineStr">
        <is>
          <t>Raksha_Bettare_seg0201</t>
        </is>
      </c>
      <c r="D152" s="13" t="inlineStr">
        <is>
          <t>baseline</t>
        </is>
      </c>
      <c r="E152" s="13" t="inlineStr">
        <is>
          <t>finetuned</t>
        </is>
      </c>
      <c r="F152" s="13" t="inlineStr">
        <is>
          <t>finetuned</t>
        </is>
      </c>
      <c r="G152" s="13" t="inlineStr">
        <is>
          <t>Vocal</t>
        </is>
      </c>
    </row>
    <row r="153" ht="15" customHeight="1">
      <c r="A153" s="13" t="inlineStr">
        <is>
          <t>PA44D477</t>
        </is>
      </c>
      <c r="B153" s="13">
        <f>VLOOKUP(A153,Table1[[#All],[Participant ID]:[Persona]],7,0)</f>
        <v/>
      </c>
      <c r="C153" s="13" t="inlineStr">
        <is>
          <t>Nannupalimpa_seg0235</t>
        </is>
      </c>
      <c r="D153" s="13" t="inlineStr">
        <is>
          <t>finetuned</t>
        </is>
      </c>
      <c r="E153" s="13" t="inlineStr">
        <is>
          <t>finetuned</t>
        </is>
      </c>
      <c r="F153" s="13" t="inlineStr">
        <is>
          <t>finetuned</t>
        </is>
      </c>
      <c r="G153" s="13" t="inlineStr">
        <is>
          <t>Percussion - Mirudhangam</t>
        </is>
      </c>
    </row>
    <row r="154" ht="15" customHeight="1">
      <c r="A154" s="13" t="inlineStr">
        <is>
          <t>PA44D477</t>
        </is>
      </c>
      <c r="B154" s="13">
        <f>VLOOKUP(A154,Table1[[#All],[Participant ID]:[Persona]],7,0)</f>
        <v/>
      </c>
      <c r="C154" s="13" t="inlineStr">
        <is>
          <t>Seshachala_Nayakam_seg0142</t>
        </is>
      </c>
      <c r="D154" s="13" t="inlineStr">
        <is>
          <t>baseline</t>
        </is>
      </c>
      <c r="E154" s="13" t="inlineStr">
        <is>
          <t>finetuned</t>
        </is>
      </c>
      <c r="F154" s="13" t="inlineStr">
        <is>
          <t>baseline</t>
        </is>
      </c>
      <c r="G154" s="13" t="inlineStr">
        <is>
          <t>Instrumental - Violin</t>
        </is>
      </c>
    </row>
    <row r="155" ht="15" customHeight="1">
      <c r="A155" s="13" t="inlineStr">
        <is>
          <t>PA44D477</t>
        </is>
      </c>
      <c r="B155" s="13">
        <f>VLOOKUP(A155,Table1[[#All],[Participant ID]:[Persona]],7,0)</f>
        <v/>
      </c>
      <c r="C155" s="13" t="inlineStr">
        <is>
          <t>Ramanatham_Bhajeham_seg0029</t>
        </is>
      </c>
      <c r="D155" s="13" t="inlineStr">
        <is>
          <t>finetuned</t>
        </is>
      </c>
      <c r="E155" s="13" t="inlineStr">
        <is>
          <t>finetuned</t>
        </is>
      </c>
      <c r="F155" s="13" t="inlineStr">
        <is>
          <t>baseline</t>
        </is>
      </c>
      <c r="G155" s="13" t="inlineStr">
        <is>
          <t>Vocal</t>
        </is>
      </c>
    </row>
    <row r="156" ht="15" customHeight="1">
      <c r="A156" s="13" t="inlineStr">
        <is>
          <t>PA44D477</t>
        </is>
      </c>
      <c r="B156" s="13">
        <f>VLOOKUP(A156,Table1[[#All],[Participant ID]:[Persona]],7,0)</f>
        <v/>
      </c>
      <c r="C156" s="13" t="inlineStr">
        <is>
          <t>Deva_Deva_Jagadeesha_seg0006</t>
        </is>
      </c>
      <c r="D156" s="13" t="inlineStr">
        <is>
          <t>finetuned</t>
        </is>
      </c>
      <c r="E156" s="13" t="inlineStr">
        <is>
          <t>finetuned</t>
        </is>
      </c>
      <c r="F156" s="13" t="inlineStr">
        <is>
          <t>finetuned</t>
        </is>
      </c>
      <c r="G156" s="13" t="inlineStr">
        <is>
          <t>Instrumental - Violin</t>
        </is>
      </c>
    </row>
    <row r="157" ht="15" customHeight="1">
      <c r="A157" s="13" t="inlineStr">
        <is>
          <t>PA44D477</t>
        </is>
      </c>
      <c r="B157" s="13">
        <f>VLOOKUP(A157,Table1[[#All],[Participant ID]:[Persona]],7,0)</f>
        <v/>
      </c>
      <c r="C157" s="13" t="inlineStr">
        <is>
          <t>Karpagambike_seg0044</t>
        </is>
      </c>
      <c r="D157" s="13" t="inlineStr">
        <is>
          <t>finetuned</t>
        </is>
      </c>
      <c r="E157" s="13" t="inlineStr">
        <is>
          <t>finetuned</t>
        </is>
      </c>
      <c r="F157" s="13" t="inlineStr">
        <is>
          <t>baseline</t>
        </is>
      </c>
      <c r="G157" s="13" t="inlineStr">
        <is>
          <t>Vocal</t>
        </is>
      </c>
    </row>
    <row r="158" ht="15" customHeight="1">
      <c r="A158" s="13" t="inlineStr">
        <is>
          <t>PA4BADE8</t>
        </is>
      </c>
      <c r="B158" s="13">
        <f>VLOOKUP(A158,Table1[[#All],[Participant ID]:[Persona]],7,0)</f>
        <v/>
      </c>
      <c r="C158" s="13" t="inlineStr">
        <is>
          <t>Karpagambike_seg0044</t>
        </is>
      </c>
      <c r="D158" s="13" t="inlineStr">
        <is>
          <t>finetuned</t>
        </is>
      </c>
      <c r="E158" s="13" t="inlineStr">
        <is>
          <t>baseline</t>
        </is>
      </c>
      <c r="F158" s="13" t="inlineStr">
        <is>
          <t>finetuned</t>
        </is>
      </c>
      <c r="G158" s="13" t="inlineStr">
        <is>
          <t>Vocal</t>
        </is>
      </c>
    </row>
    <row r="159" ht="15" customHeight="1">
      <c r="A159" s="13" t="inlineStr">
        <is>
          <t>PA4BADE8</t>
        </is>
      </c>
      <c r="B159" s="13">
        <f>VLOOKUP(A159,Table1[[#All],[Participant ID]:[Persona]],7,0)</f>
        <v/>
      </c>
      <c r="C159" s="13" t="inlineStr">
        <is>
          <t>Raksha_Bettare_seg0201</t>
        </is>
      </c>
      <c r="D159" s="13" t="inlineStr">
        <is>
          <t>finetuned</t>
        </is>
      </c>
      <c r="E159" s="13" t="inlineStr">
        <is>
          <t>finetuned</t>
        </is>
      </c>
      <c r="F159" s="13" t="inlineStr">
        <is>
          <t>finetuned</t>
        </is>
      </c>
      <c r="G159" s="13" t="inlineStr">
        <is>
          <t>Vocal</t>
        </is>
      </c>
    </row>
    <row r="160" ht="15" customHeight="1">
      <c r="A160" s="13" t="inlineStr">
        <is>
          <t>PA4BADE8</t>
        </is>
      </c>
      <c r="B160" s="13">
        <f>VLOOKUP(A160,Table1[[#All],[Participant ID]:[Persona]],7,0)</f>
        <v/>
      </c>
      <c r="C160" s="13" t="inlineStr">
        <is>
          <t>Deva_Deva_Jagadeesha_seg0006</t>
        </is>
      </c>
      <c r="D160" s="13" t="inlineStr">
        <is>
          <t>finetuned</t>
        </is>
      </c>
      <c r="E160" s="13" t="inlineStr">
        <is>
          <t>finetuned</t>
        </is>
      </c>
      <c r="F160" s="13" t="inlineStr">
        <is>
          <t>finetuned</t>
        </is>
      </c>
      <c r="G160" s="13" t="inlineStr">
        <is>
          <t>Instrumental - Violin</t>
        </is>
      </c>
    </row>
    <row r="161" ht="15" customHeight="1">
      <c r="A161" s="13" t="inlineStr">
        <is>
          <t>PA4BADE8</t>
        </is>
      </c>
      <c r="B161" s="13">
        <f>VLOOKUP(A161,Table1[[#All],[Participant ID]:[Persona]],7,0)</f>
        <v/>
      </c>
      <c r="C161" s="13" t="inlineStr">
        <is>
          <t>Ramanatham_Bhajeham_seg0029</t>
        </is>
      </c>
      <c r="D161" s="13" t="inlineStr">
        <is>
          <t>baseline</t>
        </is>
      </c>
      <c r="E161" s="13" t="inlineStr">
        <is>
          <t>baseline</t>
        </is>
      </c>
      <c r="F161" s="13" t="inlineStr">
        <is>
          <t>baseline</t>
        </is>
      </c>
      <c r="G161" s="13" t="inlineStr">
        <is>
          <t>Vocal</t>
        </is>
      </c>
    </row>
    <row r="162" ht="15" customHeight="1">
      <c r="A162" s="13" t="inlineStr">
        <is>
          <t>PA4BADE8</t>
        </is>
      </c>
      <c r="B162" s="13">
        <f>VLOOKUP(A162,Table1[[#All],[Participant ID]:[Persona]],7,0)</f>
        <v/>
      </c>
      <c r="C162" s="13" t="inlineStr">
        <is>
          <t>Nannupalimpa_seg0235</t>
        </is>
      </c>
      <c r="D162" s="13" t="inlineStr">
        <is>
          <t>finetuned</t>
        </is>
      </c>
      <c r="E162" s="13" t="inlineStr">
        <is>
          <t>finetuned</t>
        </is>
      </c>
      <c r="F162" s="13" t="inlineStr">
        <is>
          <t>finetuned</t>
        </is>
      </c>
      <c r="G162" s="13" t="inlineStr">
        <is>
          <t>Percussion - Mirudhangam</t>
        </is>
      </c>
    </row>
    <row r="163" ht="15" customHeight="1">
      <c r="A163" s="13" t="inlineStr">
        <is>
          <t>PA4BADE8</t>
        </is>
      </c>
      <c r="B163" s="13">
        <f>VLOOKUP(A163,Table1[[#All],[Participant ID]:[Persona]],7,0)</f>
        <v/>
      </c>
      <c r="C163" s="13" t="inlineStr">
        <is>
          <t>Seshachala_Nayakam_seg0142</t>
        </is>
      </c>
      <c r="D163" s="13" t="inlineStr">
        <is>
          <t>finetuned</t>
        </is>
      </c>
      <c r="E163" s="13" t="inlineStr">
        <is>
          <t>finetuned</t>
        </is>
      </c>
      <c r="F163" s="13" t="inlineStr">
        <is>
          <t>finetuned</t>
        </is>
      </c>
      <c r="G163" s="13" t="inlineStr">
        <is>
          <t>Instrumental - Violin</t>
        </is>
      </c>
    </row>
    <row r="164" ht="15" customHeight="1">
      <c r="A164" s="13" t="inlineStr">
        <is>
          <t>PA6BCE9E</t>
        </is>
      </c>
      <c r="B164" s="13">
        <f>VLOOKUP(A164,Table1[[#All],[Participant ID]:[Persona]],7,0)</f>
        <v/>
      </c>
      <c r="C164" s="13" t="inlineStr">
        <is>
          <t>Raksha_Bettare_seg0201</t>
        </is>
      </c>
      <c r="D164" s="13" t="inlineStr">
        <is>
          <t>finetuned</t>
        </is>
      </c>
      <c r="E164" s="13" t="inlineStr">
        <is>
          <t>finetuned</t>
        </is>
      </c>
      <c r="F164" s="13" t="inlineStr">
        <is>
          <t>finetuned</t>
        </is>
      </c>
      <c r="G164" s="13" t="inlineStr">
        <is>
          <t>Vocal</t>
        </is>
      </c>
    </row>
    <row r="165" ht="15" customHeight="1">
      <c r="A165" s="13" t="inlineStr">
        <is>
          <t>PA6BCE9E</t>
        </is>
      </c>
      <c r="B165" s="13">
        <f>VLOOKUP(A165,Table1[[#All],[Participant ID]:[Persona]],7,0)</f>
        <v/>
      </c>
      <c r="C165" s="13" t="inlineStr">
        <is>
          <t>Nannupalimpa_seg0235</t>
        </is>
      </c>
      <c r="D165" s="13" t="inlineStr">
        <is>
          <t>finetuned</t>
        </is>
      </c>
      <c r="E165" s="13" t="inlineStr">
        <is>
          <t>finetuned</t>
        </is>
      </c>
      <c r="F165" s="13" t="inlineStr">
        <is>
          <t>finetuned</t>
        </is>
      </c>
      <c r="G165" s="13" t="inlineStr">
        <is>
          <t>Percussion - Mirudhangam</t>
        </is>
      </c>
    </row>
    <row r="166" ht="15" customHeight="1">
      <c r="A166" s="13" t="inlineStr">
        <is>
          <t>PA6BCE9E</t>
        </is>
      </c>
      <c r="B166" s="13">
        <f>VLOOKUP(A166,Table1[[#All],[Participant ID]:[Persona]],7,0)</f>
        <v/>
      </c>
      <c r="C166" s="13" t="inlineStr">
        <is>
          <t>Seshachala_Nayakam_seg0142</t>
        </is>
      </c>
      <c r="D166" s="13" t="inlineStr">
        <is>
          <t>finetuned</t>
        </is>
      </c>
      <c r="E166" s="13" t="inlineStr">
        <is>
          <t>finetuned</t>
        </is>
      </c>
      <c r="F166" s="13" t="inlineStr">
        <is>
          <t>finetuned</t>
        </is>
      </c>
      <c r="G166" s="13" t="inlineStr">
        <is>
          <t>Instrumental - Violin</t>
        </is>
      </c>
    </row>
    <row r="167" ht="15" customHeight="1">
      <c r="A167" s="13" t="inlineStr">
        <is>
          <t>PA6BCE9E</t>
        </is>
      </c>
      <c r="B167" s="13">
        <f>VLOOKUP(A167,Table1[[#All],[Participant ID]:[Persona]],7,0)</f>
        <v/>
      </c>
      <c r="C167" s="13" t="inlineStr">
        <is>
          <t>Deva_Deva_Jagadeesha_seg0006</t>
        </is>
      </c>
      <c r="D167" s="13" t="inlineStr">
        <is>
          <t>finetuned</t>
        </is>
      </c>
      <c r="E167" s="13" t="inlineStr">
        <is>
          <t>finetuned</t>
        </is>
      </c>
      <c r="F167" s="13" t="inlineStr">
        <is>
          <t>finetuned</t>
        </is>
      </c>
      <c r="G167" s="13" t="inlineStr">
        <is>
          <t>Instrumental - Violin</t>
        </is>
      </c>
    </row>
    <row r="168" ht="15" customHeight="1">
      <c r="A168" s="13" t="inlineStr">
        <is>
          <t>PA6BCE9E</t>
        </is>
      </c>
      <c r="B168" s="13">
        <f>VLOOKUP(A168,Table1[[#All],[Participant ID]:[Persona]],7,0)</f>
        <v/>
      </c>
      <c r="C168" s="13" t="inlineStr">
        <is>
          <t>Ramanatham_Bhajeham_seg0029</t>
        </is>
      </c>
      <c r="D168" s="13" t="inlineStr">
        <is>
          <t>baseline</t>
        </is>
      </c>
      <c r="E168" s="13" t="inlineStr">
        <is>
          <t>baseline</t>
        </is>
      </c>
      <c r="F168" s="13" t="inlineStr">
        <is>
          <t>baseline</t>
        </is>
      </c>
      <c r="G168" s="13" t="inlineStr">
        <is>
          <t>Vocal</t>
        </is>
      </c>
    </row>
    <row r="169" ht="15" customHeight="1">
      <c r="A169" s="13" t="inlineStr">
        <is>
          <t>PA6BCE9E</t>
        </is>
      </c>
      <c r="B169" s="13">
        <f>VLOOKUP(A169,Table1[[#All],[Participant ID]:[Persona]],7,0)</f>
        <v/>
      </c>
      <c r="C169" s="13" t="inlineStr">
        <is>
          <t>Karpagambike_seg0044</t>
        </is>
      </c>
      <c r="D169" s="13" t="inlineStr">
        <is>
          <t>baseline</t>
        </is>
      </c>
      <c r="E169" s="13" t="inlineStr">
        <is>
          <t>baseline</t>
        </is>
      </c>
      <c r="F169" s="13" t="inlineStr">
        <is>
          <t>baseline</t>
        </is>
      </c>
      <c r="G169" s="13" t="inlineStr">
        <is>
          <t>Vocal</t>
        </is>
      </c>
    </row>
    <row r="170" ht="15" customHeight="1">
      <c r="A170" s="13" t="inlineStr">
        <is>
          <t>PA4217ED</t>
        </is>
      </c>
      <c r="B170" s="13">
        <f>VLOOKUP(A170,Table1[[#All],[Participant ID]:[Persona]],7,0)</f>
        <v/>
      </c>
      <c r="C170" s="13" t="inlineStr">
        <is>
          <t>Seshachala_Nayakam_seg0142</t>
        </is>
      </c>
      <c r="D170" s="13" t="inlineStr">
        <is>
          <t>finetuned</t>
        </is>
      </c>
      <c r="E170" s="13" t="inlineStr">
        <is>
          <t>finetuned</t>
        </is>
      </c>
      <c r="F170" s="13" t="inlineStr">
        <is>
          <t>finetuned</t>
        </is>
      </c>
      <c r="G170" s="13" t="inlineStr">
        <is>
          <t>Instrumental - Violin</t>
        </is>
      </c>
    </row>
    <row r="171" ht="15" customHeight="1">
      <c r="A171" s="13" t="inlineStr">
        <is>
          <t>PA4217ED</t>
        </is>
      </c>
      <c r="B171" s="13">
        <f>VLOOKUP(A171,Table1[[#All],[Participant ID]:[Persona]],7,0)</f>
        <v/>
      </c>
      <c r="C171" s="13" t="inlineStr">
        <is>
          <t>Karpagambike_seg0044</t>
        </is>
      </c>
      <c r="D171" s="13" t="inlineStr">
        <is>
          <t>baseline</t>
        </is>
      </c>
      <c r="E171" s="13" t="inlineStr">
        <is>
          <t>baseline</t>
        </is>
      </c>
      <c r="F171" s="13" t="inlineStr">
        <is>
          <t>baseline</t>
        </is>
      </c>
      <c r="G171" s="13" t="inlineStr">
        <is>
          <t>Vocal</t>
        </is>
      </c>
    </row>
    <row r="172" ht="15" customHeight="1">
      <c r="A172" s="13" t="inlineStr">
        <is>
          <t>PA4217ED</t>
        </is>
      </c>
      <c r="B172" s="13">
        <f>VLOOKUP(A172,Table1[[#All],[Participant ID]:[Persona]],7,0)</f>
        <v/>
      </c>
      <c r="C172" s="13" t="inlineStr">
        <is>
          <t>Deva_Deva_Jagadeesha_seg0006</t>
        </is>
      </c>
      <c r="D172" s="13" t="inlineStr">
        <is>
          <t>finetuned</t>
        </is>
      </c>
      <c r="E172" s="13" t="inlineStr">
        <is>
          <t>finetuned</t>
        </is>
      </c>
      <c r="F172" s="13" t="inlineStr">
        <is>
          <t>finetuned</t>
        </is>
      </c>
      <c r="G172" s="13" t="inlineStr">
        <is>
          <t>Instrumental - Violin</t>
        </is>
      </c>
    </row>
    <row r="173" ht="15" customHeight="1">
      <c r="A173" s="13" t="inlineStr">
        <is>
          <t>PA4217ED</t>
        </is>
      </c>
      <c r="B173" s="13">
        <f>VLOOKUP(A173,Table1[[#All],[Participant ID]:[Persona]],7,0)</f>
        <v/>
      </c>
      <c r="C173" s="13" t="inlineStr">
        <is>
          <t>Nannupalimpa_seg0235</t>
        </is>
      </c>
      <c r="D173" s="13" t="inlineStr">
        <is>
          <t>finetuned</t>
        </is>
      </c>
      <c r="E173" s="13" t="inlineStr">
        <is>
          <t>finetuned</t>
        </is>
      </c>
      <c r="F173" s="13" t="inlineStr">
        <is>
          <t>finetuned</t>
        </is>
      </c>
      <c r="G173" s="13" t="inlineStr">
        <is>
          <t>Percussion - Mirudhangam</t>
        </is>
      </c>
    </row>
    <row r="174" ht="15" customHeight="1">
      <c r="A174" s="13" t="inlineStr">
        <is>
          <t>PA4217ED</t>
        </is>
      </c>
      <c r="B174" s="13">
        <f>VLOOKUP(A174,Table1[[#All],[Participant ID]:[Persona]],7,0)</f>
        <v/>
      </c>
      <c r="C174" s="13" t="inlineStr">
        <is>
          <t>Ramanatham_Bhajeham_seg0029</t>
        </is>
      </c>
      <c r="D174" s="13" t="inlineStr">
        <is>
          <t>baseline</t>
        </is>
      </c>
      <c r="E174" s="13" t="inlineStr">
        <is>
          <t>baseline</t>
        </is>
      </c>
      <c r="F174" s="13" t="inlineStr">
        <is>
          <t>baseline</t>
        </is>
      </c>
      <c r="G174" s="13" t="inlineStr">
        <is>
          <t>Vocal</t>
        </is>
      </c>
    </row>
    <row r="175" ht="15" customHeight="1">
      <c r="A175" s="13" t="inlineStr">
        <is>
          <t>PA4217ED</t>
        </is>
      </c>
      <c r="B175" s="13">
        <f>VLOOKUP(A175,Table1[[#All],[Participant ID]:[Persona]],7,0)</f>
        <v/>
      </c>
      <c r="C175" s="13" t="inlineStr">
        <is>
          <t>Raksha_Bettare_seg0201</t>
        </is>
      </c>
      <c r="D175" s="13" t="inlineStr">
        <is>
          <t>baseline</t>
        </is>
      </c>
      <c r="E175" s="13" t="inlineStr">
        <is>
          <t>baseline</t>
        </is>
      </c>
      <c r="F175" s="13" t="inlineStr">
        <is>
          <t>baseline</t>
        </is>
      </c>
      <c r="G175" s="13" t="inlineStr">
        <is>
          <t>Vocal</t>
        </is>
      </c>
    </row>
    <row r="176" ht="15" customHeight="1">
      <c r="A176" s="13" t="inlineStr">
        <is>
          <t>PAB26C73</t>
        </is>
      </c>
      <c r="B176" s="13">
        <f>VLOOKUP(A176,Table1[[#All],[Participant ID]:[Persona]],7,0)</f>
        <v/>
      </c>
      <c r="C176" s="13" t="inlineStr">
        <is>
          <t>Deva_Deva_Jagadeesha_seg0006</t>
        </is>
      </c>
      <c r="D176" s="13" t="inlineStr">
        <is>
          <t>finetuned</t>
        </is>
      </c>
      <c r="E176" s="13" t="inlineStr">
        <is>
          <t>finetuned</t>
        </is>
      </c>
      <c r="F176" s="13" t="inlineStr">
        <is>
          <t>finetuned</t>
        </is>
      </c>
      <c r="G176" s="13" t="inlineStr">
        <is>
          <t>Instrumental - Violin</t>
        </is>
      </c>
    </row>
    <row r="177" ht="15" customHeight="1">
      <c r="A177" s="13" t="inlineStr">
        <is>
          <t>PAB26C73</t>
        </is>
      </c>
      <c r="B177" s="13">
        <f>VLOOKUP(A177,Table1[[#All],[Participant ID]:[Persona]],7,0)</f>
        <v/>
      </c>
      <c r="C177" s="13" t="inlineStr">
        <is>
          <t>Ramanatham_Bhajeham_seg0029</t>
        </is>
      </c>
      <c r="D177" s="13" t="inlineStr">
        <is>
          <t>finetuned</t>
        </is>
      </c>
      <c r="E177" s="13" t="inlineStr">
        <is>
          <t>finetuned</t>
        </is>
      </c>
      <c r="F177" s="13" t="inlineStr">
        <is>
          <t>finetuned</t>
        </is>
      </c>
      <c r="G177" s="13" t="inlineStr">
        <is>
          <t>Vocal</t>
        </is>
      </c>
    </row>
    <row r="178" ht="15" customHeight="1">
      <c r="A178" s="13" t="inlineStr">
        <is>
          <t>PAB26C73</t>
        </is>
      </c>
      <c r="B178" s="13">
        <f>VLOOKUP(A178,Table1[[#All],[Participant ID]:[Persona]],7,0)</f>
        <v/>
      </c>
      <c r="C178" s="13" t="inlineStr">
        <is>
          <t>Seshachala_Nayakam_seg0142</t>
        </is>
      </c>
      <c r="D178" s="13" t="inlineStr">
        <is>
          <t>finetuned</t>
        </is>
      </c>
      <c r="E178" s="13" t="inlineStr">
        <is>
          <t>finetuned</t>
        </is>
      </c>
      <c r="F178" s="13" t="inlineStr">
        <is>
          <t>finetuned</t>
        </is>
      </c>
      <c r="G178" s="13" t="inlineStr">
        <is>
          <t>Instrumental - Violin</t>
        </is>
      </c>
    </row>
    <row r="179" ht="15" customHeight="1">
      <c r="A179" s="13" t="inlineStr">
        <is>
          <t>PAB26C73</t>
        </is>
      </c>
      <c r="B179" s="13">
        <f>VLOOKUP(A179,Table1[[#All],[Participant ID]:[Persona]],7,0)</f>
        <v/>
      </c>
      <c r="C179" s="13" t="inlineStr">
        <is>
          <t>Raksha_Bettare_seg0201</t>
        </is>
      </c>
      <c r="D179" s="13" t="inlineStr">
        <is>
          <t>baseline</t>
        </is>
      </c>
      <c r="E179" s="13" t="inlineStr">
        <is>
          <t>baseline</t>
        </is>
      </c>
      <c r="F179" s="13" t="inlineStr">
        <is>
          <t>baseline</t>
        </is>
      </c>
      <c r="G179" s="13" t="inlineStr">
        <is>
          <t>Vocal</t>
        </is>
      </c>
    </row>
    <row r="180" ht="15" customHeight="1">
      <c r="A180" s="13" t="inlineStr">
        <is>
          <t>PAB26C73</t>
        </is>
      </c>
      <c r="B180" s="13">
        <f>VLOOKUP(A180,Table1[[#All],[Participant ID]:[Persona]],7,0)</f>
        <v/>
      </c>
      <c r="C180" s="13" t="inlineStr">
        <is>
          <t>Nannupalimpa_seg0235</t>
        </is>
      </c>
      <c r="D180" s="13" t="inlineStr">
        <is>
          <t>baseline</t>
        </is>
      </c>
      <c r="E180" s="13" t="inlineStr">
        <is>
          <t>baseline</t>
        </is>
      </c>
      <c r="F180" s="13" t="inlineStr">
        <is>
          <t>baseline</t>
        </is>
      </c>
      <c r="G180" s="13" t="inlineStr">
        <is>
          <t>Percussion - Mirudhangam</t>
        </is>
      </c>
    </row>
    <row r="181" ht="15" customHeight="1">
      <c r="A181" s="13" t="inlineStr">
        <is>
          <t>PAB26C73</t>
        </is>
      </c>
      <c r="B181" s="13">
        <f>VLOOKUP(A181,Table1[[#All],[Participant ID]:[Persona]],7,0)</f>
        <v/>
      </c>
      <c r="C181" s="13" t="inlineStr">
        <is>
          <t>Karpagambike_seg0044</t>
        </is>
      </c>
      <c r="D181" s="13" t="inlineStr">
        <is>
          <t>baseline</t>
        </is>
      </c>
      <c r="E181" s="13" t="inlineStr">
        <is>
          <t>baseline</t>
        </is>
      </c>
      <c r="F181" s="13" t="inlineStr">
        <is>
          <t>baseline</t>
        </is>
      </c>
      <c r="G181" s="13" t="inlineStr">
        <is>
          <t>Vocal</t>
        </is>
      </c>
    </row>
    <row r="182" ht="15" customHeight="1">
      <c r="A182" s="13" t="inlineStr">
        <is>
          <t>PA7B7903</t>
        </is>
      </c>
      <c r="B182" s="13">
        <f>VLOOKUP(A182,Table1[[#All],[Participant ID]:[Persona]],7,0)</f>
        <v/>
      </c>
      <c r="C182" s="13" t="inlineStr">
        <is>
          <t>Seshachala_Nayakam_seg0142</t>
        </is>
      </c>
      <c r="D182" s="13" t="inlineStr">
        <is>
          <t>baseline</t>
        </is>
      </c>
      <c r="E182" s="13" t="inlineStr">
        <is>
          <t>baseline</t>
        </is>
      </c>
      <c r="F182" s="13" t="inlineStr">
        <is>
          <t>baseline</t>
        </is>
      </c>
      <c r="G182" s="13" t="inlineStr">
        <is>
          <t>Instrumental - Violin</t>
        </is>
      </c>
    </row>
    <row r="183" ht="15" customHeight="1">
      <c r="A183" s="13" t="inlineStr">
        <is>
          <t>PA7B7903</t>
        </is>
      </c>
      <c r="B183" s="13">
        <f>VLOOKUP(A183,Table1[[#All],[Participant ID]:[Persona]],7,0)</f>
        <v/>
      </c>
      <c r="C183" s="13" t="inlineStr">
        <is>
          <t>Raksha_Bettare_seg0201</t>
        </is>
      </c>
      <c r="D183" s="13" t="inlineStr">
        <is>
          <t>finetuned</t>
        </is>
      </c>
      <c r="E183" s="13" t="inlineStr">
        <is>
          <t>finetuned</t>
        </is>
      </c>
      <c r="F183" s="13" t="inlineStr">
        <is>
          <t>finetuned</t>
        </is>
      </c>
      <c r="G183" s="13" t="inlineStr">
        <is>
          <t>Vocal</t>
        </is>
      </c>
    </row>
    <row r="184" ht="15" customHeight="1">
      <c r="A184" s="13" t="inlineStr">
        <is>
          <t>PA7B7903</t>
        </is>
      </c>
      <c r="B184" s="13">
        <f>VLOOKUP(A184,Table1[[#All],[Participant ID]:[Persona]],7,0)</f>
        <v/>
      </c>
      <c r="C184" s="13" t="inlineStr">
        <is>
          <t>Nannupalimpa_seg0235</t>
        </is>
      </c>
      <c r="D184" s="13" t="inlineStr">
        <is>
          <t>baseline</t>
        </is>
      </c>
      <c r="E184" s="13" t="inlineStr">
        <is>
          <t>baseline</t>
        </is>
      </c>
      <c r="F184" s="13" t="inlineStr">
        <is>
          <t>baseline</t>
        </is>
      </c>
      <c r="G184" s="13" t="inlineStr">
        <is>
          <t>Percussion - Mirudhangam</t>
        </is>
      </c>
    </row>
    <row r="185" ht="15" customHeight="1">
      <c r="A185" s="13" t="inlineStr">
        <is>
          <t>PA7B7903</t>
        </is>
      </c>
      <c r="B185" s="13">
        <f>VLOOKUP(A185,Table1[[#All],[Participant ID]:[Persona]],7,0)</f>
        <v/>
      </c>
      <c r="C185" s="13" t="inlineStr">
        <is>
          <t>Deva_Deva_Jagadeesha_seg0006</t>
        </is>
      </c>
      <c r="D185" s="13" t="inlineStr">
        <is>
          <t>finetuned</t>
        </is>
      </c>
      <c r="E185" s="13" t="inlineStr">
        <is>
          <t>finetuned</t>
        </is>
      </c>
      <c r="F185" s="13" t="inlineStr">
        <is>
          <t>finetuned</t>
        </is>
      </c>
      <c r="G185" s="13" t="inlineStr">
        <is>
          <t>Instrumental - Violin</t>
        </is>
      </c>
    </row>
    <row r="186" ht="15" customHeight="1">
      <c r="A186" s="13" t="inlineStr">
        <is>
          <t>PA7B7903</t>
        </is>
      </c>
      <c r="B186" s="13">
        <f>VLOOKUP(A186,Table1[[#All],[Participant ID]:[Persona]],7,0)</f>
        <v/>
      </c>
      <c r="C186" s="13" t="inlineStr">
        <is>
          <t>Ramanatham_Bhajeham_seg0029</t>
        </is>
      </c>
      <c r="D186" s="13" t="inlineStr">
        <is>
          <t>baseline</t>
        </is>
      </c>
      <c r="E186" s="13" t="inlineStr">
        <is>
          <t>baseline</t>
        </is>
      </c>
      <c r="F186" s="13" t="inlineStr">
        <is>
          <t>baseline</t>
        </is>
      </c>
      <c r="G186" s="13" t="inlineStr">
        <is>
          <t>Vocal</t>
        </is>
      </c>
    </row>
    <row r="187" ht="15" customHeight="1">
      <c r="A187" s="13" t="inlineStr">
        <is>
          <t>PA7B7903</t>
        </is>
      </c>
      <c r="B187" s="13">
        <f>VLOOKUP(A187,Table1[[#All],[Participant ID]:[Persona]],7,0)</f>
        <v/>
      </c>
      <c r="C187" s="13" t="inlineStr">
        <is>
          <t>Karpagambike_seg0044</t>
        </is>
      </c>
      <c r="D187" s="13" t="inlineStr">
        <is>
          <t>finetuned</t>
        </is>
      </c>
      <c r="E187" s="13" t="inlineStr">
        <is>
          <t>finetuned</t>
        </is>
      </c>
      <c r="F187" s="13" t="inlineStr">
        <is>
          <t>finetuned</t>
        </is>
      </c>
      <c r="G187" s="13" t="inlineStr">
        <is>
          <t>Vocal</t>
        </is>
      </c>
    </row>
    <row r="188" ht="15" customHeight="1">
      <c r="A188" s="13" t="inlineStr">
        <is>
          <t>PAE6E0AE</t>
        </is>
      </c>
      <c r="B188" s="13">
        <f>VLOOKUP(A188,Table1[[#All],[Participant ID]:[Persona]],7,0)</f>
        <v/>
      </c>
      <c r="C188" s="13" t="inlineStr">
        <is>
          <t>Ramanatham_Bhajeham_seg0029</t>
        </is>
      </c>
      <c r="D188" s="13" t="inlineStr">
        <is>
          <t>baseline</t>
        </is>
      </c>
      <c r="E188" s="13" t="inlineStr">
        <is>
          <t>baseline</t>
        </is>
      </c>
      <c r="F188" s="13" t="inlineStr">
        <is>
          <t>baseline</t>
        </is>
      </c>
      <c r="G188" s="13" t="inlineStr">
        <is>
          <t>Vocal</t>
        </is>
      </c>
    </row>
    <row r="189" ht="15" customHeight="1">
      <c r="A189" s="13" t="inlineStr">
        <is>
          <t>PAE6E0AE</t>
        </is>
      </c>
      <c r="B189" s="13">
        <f>VLOOKUP(A189,Table1[[#All],[Participant ID]:[Persona]],7,0)</f>
        <v/>
      </c>
      <c r="C189" s="13" t="inlineStr">
        <is>
          <t>Raksha_Bettare_seg0201</t>
        </is>
      </c>
      <c r="D189" s="13" t="inlineStr">
        <is>
          <t>baseline</t>
        </is>
      </c>
      <c r="E189" s="13" t="inlineStr">
        <is>
          <t>baseline</t>
        </is>
      </c>
      <c r="F189" s="13" t="inlineStr">
        <is>
          <t>baseline</t>
        </is>
      </c>
      <c r="G189" s="13" t="inlineStr">
        <is>
          <t>Vocal</t>
        </is>
      </c>
    </row>
    <row r="190" ht="15" customHeight="1">
      <c r="A190" s="13" t="inlineStr">
        <is>
          <t>PAE6E0AE</t>
        </is>
      </c>
      <c r="B190" s="13">
        <f>VLOOKUP(A190,Table1[[#All],[Participant ID]:[Persona]],7,0)</f>
        <v/>
      </c>
      <c r="C190" s="13" t="inlineStr">
        <is>
          <t>Karpagambike_seg0044</t>
        </is>
      </c>
      <c r="D190" s="13" t="inlineStr">
        <is>
          <t>finetuned</t>
        </is>
      </c>
      <c r="E190" s="13" t="inlineStr">
        <is>
          <t>finetuned</t>
        </is>
      </c>
      <c r="F190" s="13" t="inlineStr">
        <is>
          <t>finetuned</t>
        </is>
      </c>
      <c r="G190" s="13" t="inlineStr">
        <is>
          <t>Vocal</t>
        </is>
      </c>
    </row>
    <row r="191" ht="15" customHeight="1">
      <c r="A191" s="13" t="inlineStr">
        <is>
          <t>PAE6E0AE</t>
        </is>
      </c>
      <c r="B191" s="13">
        <f>VLOOKUP(A191,Table1[[#All],[Participant ID]:[Persona]],7,0)</f>
        <v/>
      </c>
      <c r="C191" s="13" t="inlineStr">
        <is>
          <t>Deva_Deva_Jagadeesha_seg0006</t>
        </is>
      </c>
      <c r="D191" s="13" t="inlineStr">
        <is>
          <t>finetuned</t>
        </is>
      </c>
      <c r="E191" s="13" t="inlineStr">
        <is>
          <t>finetuned</t>
        </is>
      </c>
      <c r="F191" s="13" t="inlineStr">
        <is>
          <t>finetuned</t>
        </is>
      </c>
      <c r="G191" s="13" t="inlineStr">
        <is>
          <t>Instrumental - Violin</t>
        </is>
      </c>
    </row>
    <row r="192" ht="15" customHeight="1">
      <c r="A192" s="13" t="inlineStr">
        <is>
          <t>PAE6E0AE</t>
        </is>
      </c>
      <c r="B192" s="13">
        <f>VLOOKUP(A192,Table1[[#All],[Participant ID]:[Persona]],7,0)</f>
        <v/>
      </c>
      <c r="C192" s="13" t="inlineStr">
        <is>
          <t>Seshachala_Nayakam_seg0142</t>
        </is>
      </c>
      <c r="D192" s="13" t="inlineStr">
        <is>
          <t>finetuned</t>
        </is>
      </c>
      <c r="E192" s="13" t="inlineStr">
        <is>
          <t>finetuned</t>
        </is>
      </c>
      <c r="F192" s="13" t="inlineStr">
        <is>
          <t>finetuned</t>
        </is>
      </c>
      <c r="G192" s="13" t="inlineStr">
        <is>
          <t>Instrumental - Violin</t>
        </is>
      </c>
    </row>
    <row r="193" ht="15" customHeight="1">
      <c r="A193" s="13" t="inlineStr">
        <is>
          <t>PAE6E0AE</t>
        </is>
      </c>
      <c r="B193" s="13">
        <f>VLOOKUP(A193,Table1[[#All],[Participant ID]:[Persona]],7,0)</f>
        <v/>
      </c>
      <c r="C193" s="13" t="inlineStr">
        <is>
          <t>Nannupalimpa_seg0235</t>
        </is>
      </c>
      <c r="D193" s="13" t="inlineStr">
        <is>
          <t>baseline</t>
        </is>
      </c>
      <c r="E193" s="13" t="inlineStr">
        <is>
          <t>baseline</t>
        </is>
      </c>
      <c r="F193" s="13" t="inlineStr">
        <is>
          <t>baseline</t>
        </is>
      </c>
      <c r="G193" s="13" t="inlineStr">
        <is>
          <t>Percussion - Mirudhangam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outcome</t>
        </is>
      </c>
      <c r="B1" s="16" t="inlineStr">
        <is>
          <t>n_total</t>
        </is>
      </c>
      <c r="C1" s="16" t="inlineStr">
        <is>
          <t>baseline_count</t>
        </is>
      </c>
      <c r="D1" s="16" t="inlineStr">
        <is>
          <t>finetuned_count</t>
        </is>
      </c>
      <c r="E1" s="16" t="inlineStr">
        <is>
          <t>finetuned_percent</t>
        </is>
      </c>
      <c r="F1" s="16" t="inlineStr">
        <is>
          <t>raw_p_value</t>
        </is>
      </c>
      <c r="G1" s="16" t="inlineStr">
        <is>
          <t>holm_corrected_p</t>
        </is>
      </c>
      <c r="H1" s="16" t="inlineStr">
        <is>
          <t>significant_after_holm</t>
        </is>
      </c>
    </row>
    <row r="2">
      <c r="A2" t="inlineStr">
        <is>
          <t>Better Musicality</t>
        </is>
      </c>
      <c r="B2" t="n">
        <v>192</v>
      </c>
      <c r="C2" t="n">
        <v>71</v>
      </c>
      <c r="D2" t="n">
        <v>121</v>
      </c>
      <c r="E2" t="n">
        <v>63.02</v>
      </c>
      <c r="F2" t="n">
        <v>0.000189</v>
      </c>
      <c r="G2" t="n">
        <v>0.000379</v>
      </c>
      <c r="H2" t="b">
        <v>1</v>
      </c>
    </row>
    <row r="3">
      <c r="A3" t="inlineStr">
        <is>
          <t>Better Carnatic Authenticity</t>
        </is>
      </c>
      <c r="B3" t="n">
        <v>192</v>
      </c>
      <c r="C3" t="n">
        <v>68</v>
      </c>
      <c r="D3" t="n">
        <v>124</v>
      </c>
      <c r="E3" t="n">
        <v>64.58</v>
      </c>
      <c r="F3" t="n">
        <v>3.2e-05</v>
      </c>
      <c r="G3" t="n">
        <v>9.7e-05</v>
      </c>
      <c r="H3" t="b">
        <v>1</v>
      </c>
    </row>
    <row r="4">
      <c r="A4" t="inlineStr">
        <is>
          <t>Better Carnatic Continuity</t>
        </is>
      </c>
      <c r="B4" t="n">
        <v>192</v>
      </c>
      <c r="C4" t="n">
        <v>72</v>
      </c>
      <c r="D4" t="n">
        <v>120</v>
      </c>
      <c r="E4" t="n">
        <v>62.5</v>
      </c>
      <c r="F4" t="n">
        <v>0.000328</v>
      </c>
      <c r="G4" t="n">
        <v>0.000379</v>
      </c>
      <c r="H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2026-04-16T01:29:16Z</dcterms:created>
  <dcterms:modified xsi:type="dcterms:W3CDTF">2026-05-30T14:42:39Z</dcterms:modified>
  <cp:lastModifiedBy>Subramanian, Sundar Ram - (sundarram1997)</cp:lastModifiedBy>
</cp:coreProperties>
</file>